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waterloo-my.sharepoint.com/personal/fbrena_uwaterloo_ca/Documents/Research/Final4/Input/"/>
    </mc:Choice>
  </mc:AlternateContent>
  <xr:revisionPtr revIDLastSave="40" documentId="13_ncr:1_{8673A29E-022A-44F0-9B26-3EB5680CC96A}" xr6:coauthVersionLast="47" xr6:coauthVersionMax="47" xr10:uidLastSave="{987EBD15-00E5-46F1-BB8A-6511BF3587D8}"/>
  <bookViews>
    <workbookView xWindow="-4215" yWindow="-16320" windowWidth="29040" windowHeight="15840" tabRatio="885" xr2:uid="{00000000-000D-0000-FFFF-FFFF00000000}"/>
  </bookViews>
  <sheets>
    <sheet name="CDR_Demand" sheetId="6" r:id="rId1"/>
    <sheet name="Storage_Capacity" sheetId="7" r:id="rId2"/>
    <sheet name="Cost" sheetId="1" r:id="rId3"/>
    <sheet name="Limit" sheetId="2" r:id="rId4"/>
    <sheet name="Subsidy" sheetId="16" r:id="rId5"/>
    <sheet name="Rates" sheetId="17" r:id="rId6"/>
    <sheet name="Rates (2)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D4" i="7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C3" i="7"/>
  <c r="D3" i="7"/>
  <c r="B4" i="7"/>
  <c r="B5" i="7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3" i="7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D3" i="6"/>
  <c r="D4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1" i="18"/>
  <c r="C71" i="18"/>
  <c r="C71" i="1" s="1"/>
  <c r="D71" i="18"/>
  <c r="D71" i="1" s="1"/>
  <c r="B72" i="18"/>
  <c r="C72" i="18"/>
  <c r="D72" i="18"/>
  <c r="B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E72" i="18"/>
  <c r="E72" i="1" s="1"/>
  <c r="F72" i="18"/>
  <c r="F72" i="1" s="1"/>
  <c r="G72" i="18"/>
  <c r="G72" i="1" s="1"/>
  <c r="H72" i="18"/>
  <c r="H72" i="1" s="1"/>
  <c r="I72" i="18"/>
  <c r="J72" i="18"/>
  <c r="J72" i="1" s="1"/>
  <c r="K72" i="18"/>
  <c r="K72" i="1" s="1"/>
  <c r="L72" i="18"/>
  <c r="L72" i="1" s="1"/>
  <c r="M72" i="18"/>
  <c r="N72" i="18"/>
  <c r="O72" i="18"/>
  <c r="O72" i="1" s="1"/>
  <c r="P72" i="18"/>
  <c r="P72" i="1" s="1"/>
  <c r="Q72" i="18"/>
  <c r="R72" i="18"/>
  <c r="R72" i="1" s="1"/>
  <c r="S72" i="18"/>
  <c r="S72" i="1" s="1"/>
  <c r="B72" i="1"/>
  <c r="C72" i="1"/>
  <c r="D72" i="1"/>
  <c r="I72" i="1"/>
  <c r="M72" i="1"/>
  <c r="N72" i="1"/>
  <c r="Q72" i="1"/>
  <c r="I25" i="18"/>
  <c r="I26" i="18"/>
  <c r="I27" i="18"/>
  <c r="D2" i="1"/>
  <c r="D5" i="6" l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B23" i="1"/>
  <c r="B10" i="1"/>
  <c r="B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R3" i="1"/>
  <c r="S3" i="1"/>
  <c r="Q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B4" i="1"/>
  <c r="B5" i="1"/>
  <c r="B6" i="1"/>
  <c r="B7" i="1"/>
  <c r="B8" i="1"/>
  <c r="B9" i="1"/>
  <c r="B11" i="1"/>
  <c r="B12" i="1"/>
  <c r="B13" i="1"/>
  <c r="B14" i="1"/>
  <c r="B15" i="1"/>
  <c r="B16" i="1"/>
  <c r="B17" i="1"/>
  <c r="B18" i="1"/>
  <c r="B19" i="1"/>
  <c r="B20" i="1"/>
  <c r="B21" i="1"/>
  <c r="C2" i="1"/>
  <c r="E2" i="1"/>
  <c r="F2" i="1"/>
  <c r="G2" i="1"/>
  <c r="H2" i="1"/>
  <c r="I2" i="1"/>
  <c r="J2" i="1"/>
  <c r="K2" i="1"/>
  <c r="L2" i="1"/>
  <c r="M2" i="1"/>
  <c r="N2" i="1"/>
  <c r="O2" i="1"/>
  <c r="P2" i="1"/>
  <c r="B2" i="1"/>
  <c r="Q3" i="18"/>
  <c r="R3" i="18"/>
  <c r="S3" i="18"/>
  <c r="Q4" i="18"/>
  <c r="R4" i="18"/>
  <c r="S4" i="18"/>
  <c r="Q5" i="18"/>
  <c r="R5" i="18"/>
  <c r="S5" i="18"/>
  <c r="Q6" i="18"/>
  <c r="R6" i="18"/>
  <c r="S6" i="18"/>
  <c r="Q7" i="18"/>
  <c r="R7" i="18"/>
  <c r="S7" i="18"/>
  <c r="Q8" i="18"/>
  <c r="R8" i="18"/>
  <c r="S8" i="18"/>
  <c r="Q9" i="18"/>
  <c r="R9" i="18"/>
  <c r="S9" i="18"/>
  <c r="Q10" i="18"/>
  <c r="R10" i="18"/>
  <c r="S10" i="18"/>
  <c r="Q11" i="18"/>
  <c r="R11" i="18"/>
  <c r="S11" i="18"/>
  <c r="Q12" i="18"/>
  <c r="R12" i="18"/>
  <c r="S12" i="18"/>
  <c r="Q13" i="18"/>
  <c r="R13" i="18"/>
  <c r="S13" i="18"/>
  <c r="Q14" i="18"/>
  <c r="R14" i="18"/>
  <c r="S14" i="18"/>
  <c r="Q15" i="18"/>
  <c r="R15" i="18"/>
  <c r="S15" i="18"/>
  <c r="Q16" i="18"/>
  <c r="R16" i="18"/>
  <c r="S16" i="18"/>
  <c r="Q17" i="18"/>
  <c r="R17" i="18"/>
  <c r="S17" i="18"/>
  <c r="Q18" i="18"/>
  <c r="R18" i="18"/>
  <c r="S18" i="18"/>
  <c r="Q19" i="18"/>
  <c r="R19" i="18"/>
  <c r="S19" i="18"/>
  <c r="Q20" i="18"/>
  <c r="R20" i="18"/>
  <c r="S20" i="18"/>
  <c r="Q21" i="18"/>
  <c r="R21" i="18"/>
  <c r="S21" i="18"/>
  <c r="Q22" i="18"/>
  <c r="R22" i="18"/>
  <c r="S22" i="18"/>
  <c r="Q23" i="18"/>
  <c r="R23" i="18"/>
  <c r="S23" i="18"/>
  <c r="Q24" i="18"/>
  <c r="R24" i="18"/>
  <c r="S24" i="18"/>
  <c r="Q25" i="18"/>
  <c r="R25" i="18"/>
  <c r="S25" i="18"/>
  <c r="Q26" i="18"/>
  <c r="R26" i="18"/>
  <c r="S26" i="18"/>
  <c r="Q27" i="18"/>
  <c r="R27" i="18"/>
  <c r="S27" i="18"/>
  <c r="Q28" i="18"/>
  <c r="R28" i="18"/>
  <c r="S28" i="18"/>
  <c r="Q29" i="18"/>
  <c r="R29" i="18"/>
  <c r="S29" i="18"/>
  <c r="Q30" i="18"/>
  <c r="R30" i="18"/>
  <c r="S30" i="18"/>
  <c r="Q31" i="18"/>
  <c r="R31" i="18"/>
  <c r="S31" i="18"/>
  <c r="Q32" i="18"/>
  <c r="R32" i="18"/>
  <c r="S32" i="18"/>
  <c r="Q33" i="18"/>
  <c r="R33" i="18"/>
  <c r="S33" i="18"/>
  <c r="Q34" i="18"/>
  <c r="R34" i="18"/>
  <c r="S34" i="18"/>
  <c r="Q35" i="18"/>
  <c r="R35" i="18"/>
  <c r="S35" i="18"/>
  <c r="Q36" i="18"/>
  <c r="R36" i="18"/>
  <c r="S36" i="18"/>
  <c r="Q37" i="18"/>
  <c r="R37" i="18"/>
  <c r="S37" i="18"/>
  <c r="Q38" i="18"/>
  <c r="R38" i="18"/>
  <c r="S38" i="18"/>
  <c r="Q39" i="18"/>
  <c r="R39" i="18"/>
  <c r="S39" i="18"/>
  <c r="Q40" i="18"/>
  <c r="R40" i="18"/>
  <c r="S40" i="18"/>
  <c r="Q41" i="18"/>
  <c r="R41" i="18"/>
  <c r="S41" i="18"/>
  <c r="Q42" i="18"/>
  <c r="R42" i="18"/>
  <c r="S42" i="18"/>
  <c r="Q43" i="18"/>
  <c r="R43" i="18"/>
  <c r="S43" i="18"/>
  <c r="Q44" i="18"/>
  <c r="R44" i="18"/>
  <c r="S44" i="18"/>
  <c r="Q45" i="18"/>
  <c r="R45" i="18"/>
  <c r="S45" i="18"/>
  <c r="Q46" i="18"/>
  <c r="R46" i="18"/>
  <c r="S46" i="18"/>
  <c r="Q47" i="18"/>
  <c r="R47" i="18"/>
  <c r="S47" i="18"/>
  <c r="Q48" i="18"/>
  <c r="R48" i="18"/>
  <c r="S48" i="18"/>
  <c r="Q49" i="18"/>
  <c r="R49" i="18"/>
  <c r="S49" i="18"/>
  <c r="Q50" i="18"/>
  <c r="R50" i="18"/>
  <c r="S50" i="18"/>
  <c r="Q51" i="18"/>
  <c r="R51" i="18"/>
  <c r="S51" i="18"/>
  <c r="Q52" i="18"/>
  <c r="R52" i="18"/>
  <c r="S52" i="18"/>
  <c r="Q53" i="18"/>
  <c r="R53" i="18"/>
  <c r="S53" i="18"/>
  <c r="Q54" i="18"/>
  <c r="R54" i="18"/>
  <c r="S54" i="18"/>
  <c r="Q55" i="18"/>
  <c r="R55" i="18"/>
  <c r="S55" i="18"/>
  <c r="Q56" i="18"/>
  <c r="R56" i="18"/>
  <c r="S56" i="18"/>
  <c r="Q57" i="18"/>
  <c r="R57" i="18"/>
  <c r="S57" i="18"/>
  <c r="Q58" i="18"/>
  <c r="R58" i="18"/>
  <c r="S58" i="18"/>
  <c r="Q59" i="18"/>
  <c r="R59" i="18"/>
  <c r="S59" i="18"/>
  <c r="Q60" i="18"/>
  <c r="R60" i="18"/>
  <c r="S60" i="18"/>
  <c r="Q61" i="18"/>
  <c r="R61" i="18"/>
  <c r="S61" i="18"/>
  <c r="Q62" i="18"/>
  <c r="R62" i="18"/>
  <c r="S62" i="18"/>
  <c r="Q63" i="18"/>
  <c r="R63" i="18"/>
  <c r="S63" i="18"/>
  <c r="Q64" i="18"/>
  <c r="R64" i="18"/>
  <c r="S64" i="18"/>
  <c r="Q65" i="18"/>
  <c r="R65" i="18"/>
  <c r="S65" i="18"/>
  <c r="Q66" i="18"/>
  <c r="R66" i="18"/>
  <c r="S66" i="18"/>
  <c r="Q67" i="18"/>
  <c r="R67" i="18"/>
  <c r="S67" i="18"/>
  <c r="Q68" i="18"/>
  <c r="R68" i="18"/>
  <c r="S68" i="18"/>
  <c r="Q69" i="18"/>
  <c r="R69" i="18"/>
  <c r="S69" i="18"/>
  <c r="Q70" i="18"/>
  <c r="R70" i="18"/>
  <c r="S70" i="18"/>
  <c r="Q71" i="18"/>
  <c r="R71" i="18"/>
  <c r="S71" i="18"/>
  <c r="R2" i="18"/>
  <c r="S2" i="18"/>
  <c r="Q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C25" i="18"/>
  <c r="D25" i="18"/>
  <c r="E25" i="18"/>
  <c r="F25" i="18"/>
  <c r="G25" i="18"/>
  <c r="H25" i="18"/>
  <c r="J25" i="18"/>
  <c r="K25" i="18"/>
  <c r="L25" i="18"/>
  <c r="M25" i="18"/>
  <c r="N25" i="18"/>
  <c r="O25" i="18"/>
  <c r="P25" i="18"/>
  <c r="C26" i="18"/>
  <c r="D26" i="18"/>
  <c r="E26" i="18"/>
  <c r="F26" i="18"/>
  <c r="G26" i="18"/>
  <c r="H26" i="18"/>
  <c r="J26" i="18"/>
  <c r="K26" i="18"/>
  <c r="L26" i="18"/>
  <c r="M26" i="18"/>
  <c r="N26" i="18"/>
  <c r="O26" i="18"/>
  <c r="P26" i="18"/>
  <c r="C27" i="18"/>
  <c r="D27" i="18"/>
  <c r="E27" i="18"/>
  <c r="F27" i="18"/>
  <c r="G27" i="18"/>
  <c r="H27" i="18"/>
  <c r="J27" i="18"/>
  <c r="K27" i="18"/>
  <c r="L27" i="18"/>
  <c r="M27" i="18"/>
  <c r="N27" i="18"/>
  <c r="O27" i="18"/>
  <c r="P27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C53" i="18"/>
  <c r="D53" i="18"/>
  <c r="E53" i="18"/>
  <c r="F53" i="18"/>
  <c r="G53" i="18"/>
  <c r="H53" i="18"/>
  <c r="I53" i="18"/>
  <c r="J53" i="18"/>
  <c r="K53" i="18"/>
  <c r="L53" i="18"/>
  <c r="M53" i="18"/>
  <c r="N53" i="18"/>
  <c r="O53" i="18"/>
  <c r="P53" i="18"/>
  <c r="C54" i="18"/>
  <c r="D54" i="18"/>
  <c r="E54" i="18"/>
  <c r="F54" i="18"/>
  <c r="G54" i="18"/>
  <c r="H54" i="18"/>
  <c r="I54" i="18"/>
  <c r="J54" i="18"/>
  <c r="K54" i="18"/>
  <c r="L54" i="18"/>
  <c r="M54" i="18"/>
  <c r="N54" i="18"/>
  <c r="O54" i="18"/>
  <c r="P54" i="18"/>
  <c r="C55" i="18"/>
  <c r="D55" i="18"/>
  <c r="E55" i="18"/>
  <c r="F55" i="18"/>
  <c r="G55" i="18"/>
  <c r="H55" i="18"/>
  <c r="I55" i="18"/>
  <c r="J55" i="18"/>
  <c r="K55" i="18"/>
  <c r="L55" i="18"/>
  <c r="M55" i="18"/>
  <c r="N55" i="18"/>
  <c r="O55" i="18"/>
  <c r="P55" i="18"/>
  <c r="C56" i="18"/>
  <c r="D56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C58" i="18"/>
  <c r="D58" i="18"/>
  <c r="E58" i="18"/>
  <c r="F58" i="18"/>
  <c r="G58" i="18"/>
  <c r="H58" i="18"/>
  <c r="I58" i="18"/>
  <c r="J58" i="18"/>
  <c r="K58" i="18"/>
  <c r="L58" i="18"/>
  <c r="M58" i="18"/>
  <c r="N58" i="18"/>
  <c r="O58" i="18"/>
  <c r="P58" i="18"/>
  <c r="C59" i="18"/>
  <c r="D59" i="18"/>
  <c r="E59" i="18"/>
  <c r="F59" i="18"/>
  <c r="G59" i="18"/>
  <c r="H59" i="18"/>
  <c r="I59" i="18"/>
  <c r="J59" i="18"/>
  <c r="K59" i="18"/>
  <c r="L59" i="18"/>
  <c r="M59" i="18"/>
  <c r="N59" i="18"/>
  <c r="O59" i="18"/>
  <c r="P59" i="18"/>
  <c r="C60" i="18"/>
  <c r="D60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C68" i="18"/>
  <c r="D68" i="18"/>
  <c r="E68" i="18"/>
  <c r="F68" i="18"/>
  <c r="G68" i="18"/>
  <c r="H68" i="18"/>
  <c r="I68" i="18"/>
  <c r="J68" i="18"/>
  <c r="K68" i="18"/>
  <c r="L68" i="18"/>
  <c r="M68" i="18"/>
  <c r="N68" i="18"/>
  <c r="O68" i="18"/>
  <c r="P68" i="18"/>
  <c r="C69" i="18"/>
  <c r="D69" i="18"/>
  <c r="E69" i="18"/>
  <c r="F69" i="18"/>
  <c r="G69" i="18"/>
  <c r="H69" i="18"/>
  <c r="I69" i="18"/>
  <c r="J69" i="18"/>
  <c r="K69" i="18"/>
  <c r="L69" i="18"/>
  <c r="M69" i="18"/>
  <c r="N69" i="18"/>
  <c r="O69" i="18"/>
  <c r="P69" i="18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P70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C2" i="18"/>
  <c r="D2" i="18"/>
  <c r="E2" i="18"/>
  <c r="F2" i="18"/>
  <c r="G2" i="18"/>
  <c r="H2" i="18"/>
  <c r="I2" i="18"/>
  <c r="J2" i="18"/>
  <c r="K2" i="18"/>
  <c r="L2" i="18"/>
  <c r="M2" i="18"/>
  <c r="N2" i="18"/>
  <c r="O2" i="18"/>
  <c r="P2" i="18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B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23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B22" i="18"/>
  <c r="F4" i="17"/>
  <c r="F5" i="17" s="1"/>
  <c r="F6" i="17" s="1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3" i="17"/>
  <c r="G4" i="17"/>
  <c r="G5" i="17"/>
  <c r="G6" i="17" s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3" i="17"/>
  <c r="D6" i="6" l="1"/>
  <c r="D7" i="6" l="1"/>
  <c r="D8" i="6" l="1"/>
  <c r="D9" i="6" l="1"/>
  <c r="D10" i="6" l="1"/>
  <c r="D11" i="6" l="1"/>
  <c r="D12" i="6" l="1"/>
  <c r="D13" i="6" l="1"/>
  <c r="D14" i="6" l="1"/>
  <c r="D15" i="6" l="1"/>
  <c r="D16" i="6" l="1"/>
  <c r="D17" i="6" l="1"/>
  <c r="D18" i="6" l="1"/>
  <c r="D19" i="6" l="1"/>
  <c r="D20" i="6" l="1"/>
  <c r="D21" i="6" l="1"/>
  <c r="D22" i="6" l="1"/>
  <c r="D23" i="6" l="1"/>
  <c r="D24" i="6" l="1"/>
  <c r="D25" i="6" l="1"/>
  <c r="D26" i="6" l="1"/>
  <c r="D27" i="6" l="1"/>
  <c r="D28" i="6" l="1"/>
  <c r="D29" i="6" l="1"/>
  <c r="D30" i="6" l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</calcChain>
</file>

<file path=xl/sharedStrings.xml><?xml version="1.0" encoding="utf-8"?>
<sst xmlns="http://schemas.openxmlformats.org/spreadsheetml/2006/main" count="103" uniqueCount="22">
  <si>
    <t>Year</t>
  </si>
  <si>
    <t>AR_Low</t>
  </si>
  <si>
    <t>AR_Medium</t>
  </si>
  <si>
    <t>AR_High</t>
  </si>
  <si>
    <t>BECCS_Low</t>
  </si>
  <si>
    <t>BECCS_Medium</t>
  </si>
  <si>
    <t>BECCS_High</t>
  </si>
  <si>
    <t>EW_Low</t>
  </si>
  <si>
    <t>EW_Medium</t>
  </si>
  <si>
    <t>EW_High</t>
  </si>
  <si>
    <t>BC_Low</t>
  </si>
  <si>
    <t>BC_Medium</t>
  </si>
  <si>
    <t>BC_High</t>
  </si>
  <si>
    <t>OAE_Low</t>
  </si>
  <si>
    <t>OAE_Medium</t>
  </si>
  <si>
    <t>OAE_High</t>
  </si>
  <si>
    <t>Low (tCO2)</t>
  </si>
  <si>
    <t>Medium (tCO2)</t>
  </si>
  <si>
    <t>High (tCO2)</t>
  </si>
  <si>
    <t>DACCS_Low</t>
  </si>
  <si>
    <t>DACCS_Medium</t>
  </si>
  <si>
    <t>DACCS_High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</si>
</sst>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1" fontId="0" fillId="0" borderId="1" xfId="0" applyNumberFormat="1" applyBorder="1" applyAlignment="1">
      <alignment horizontal="center" vertical="center"/>
    </xf>
    <xf numFmtId="11" fontId="0" fillId="0" borderId="1" xfId="0" applyNumberFormat="1" applyBorder="1"/>
    <xf numFmtId="11" fontId="1" fillId="0" borderId="1" xfId="0" applyNumberFormat="1" applyFont="1" applyBorder="1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2" fontId="0" fillId="0" borderId="1" xfId="0" applyNumberFormat="1" applyBorder="1" applyAlignment="1">
      <alignment horizontal="center" wrapText="1"/>
    </xf>
    <xf numFmtId="11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1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164" fontId="0" fillId="0" borderId="0" xfId="0" applyNumberFormat="1"/>
    <xf numFmtId="165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Storage_Capacity!$B$2:$B$72</c:f>
              <c:numCache>
                <c:formatCode>0.00E+00</c:formatCode>
                <c:ptCount val="71"/>
                <c:pt idx="0">
                  <c:v>5000000</c:v>
                </c:pt>
                <c:pt idx="1">
                  <c:v>6071428.5714285709</c:v>
                </c:pt>
                <c:pt idx="2">
                  <c:v>7142857.1428571418</c:v>
                </c:pt>
                <c:pt idx="3">
                  <c:v>8214285.7142857127</c:v>
                </c:pt>
                <c:pt idx="4">
                  <c:v>9285714.2857142836</c:v>
                </c:pt>
                <c:pt idx="5">
                  <c:v>10357142.857142854</c:v>
                </c:pt>
                <c:pt idx="6">
                  <c:v>11428571.428571425</c:v>
                </c:pt>
                <c:pt idx="7">
                  <c:v>12499999.999999996</c:v>
                </c:pt>
                <c:pt idx="8">
                  <c:v>13571428.571428567</c:v>
                </c:pt>
                <c:pt idx="9">
                  <c:v>14642857.142857138</c:v>
                </c:pt>
                <c:pt idx="10">
                  <c:v>15714285.714285709</c:v>
                </c:pt>
                <c:pt idx="11">
                  <c:v>16785714.28571428</c:v>
                </c:pt>
                <c:pt idx="12">
                  <c:v>17857142.857142851</c:v>
                </c:pt>
                <c:pt idx="13">
                  <c:v>18928571.428571422</c:v>
                </c:pt>
                <c:pt idx="14">
                  <c:v>19999999.999999993</c:v>
                </c:pt>
                <c:pt idx="15">
                  <c:v>21071428.571428563</c:v>
                </c:pt>
                <c:pt idx="16">
                  <c:v>22142857.142857134</c:v>
                </c:pt>
                <c:pt idx="17">
                  <c:v>23214285.714285705</c:v>
                </c:pt>
                <c:pt idx="18">
                  <c:v>24285714.285714276</c:v>
                </c:pt>
                <c:pt idx="19">
                  <c:v>25357142.857142847</c:v>
                </c:pt>
                <c:pt idx="20">
                  <c:v>26428571.428571418</c:v>
                </c:pt>
                <c:pt idx="21">
                  <c:v>27499999.999999989</c:v>
                </c:pt>
                <c:pt idx="22">
                  <c:v>28571428.57142856</c:v>
                </c:pt>
                <c:pt idx="23">
                  <c:v>29642857.142857131</c:v>
                </c:pt>
                <c:pt idx="24">
                  <c:v>30714285.714285702</c:v>
                </c:pt>
                <c:pt idx="25">
                  <c:v>31785714.285714272</c:v>
                </c:pt>
                <c:pt idx="26">
                  <c:v>32857142.857142843</c:v>
                </c:pt>
                <c:pt idx="27">
                  <c:v>33928571.428571418</c:v>
                </c:pt>
                <c:pt idx="28">
                  <c:v>34999999.999999993</c:v>
                </c:pt>
                <c:pt idx="29">
                  <c:v>36071428.571428567</c:v>
                </c:pt>
                <c:pt idx="30">
                  <c:v>37142857.142857142</c:v>
                </c:pt>
                <c:pt idx="31">
                  <c:v>38214285.714285716</c:v>
                </c:pt>
                <c:pt idx="32">
                  <c:v>39285714.285714291</c:v>
                </c:pt>
                <c:pt idx="33">
                  <c:v>40357142.857142866</c:v>
                </c:pt>
                <c:pt idx="34">
                  <c:v>41428571.42857144</c:v>
                </c:pt>
                <c:pt idx="35">
                  <c:v>42500000.000000015</c:v>
                </c:pt>
                <c:pt idx="36">
                  <c:v>43571428.57142859</c:v>
                </c:pt>
                <c:pt idx="37">
                  <c:v>44642857.142857164</c:v>
                </c:pt>
                <c:pt idx="38">
                  <c:v>45714285.714285739</c:v>
                </c:pt>
                <c:pt idx="39">
                  <c:v>46785714.285714313</c:v>
                </c:pt>
                <c:pt idx="40">
                  <c:v>47857142.857142888</c:v>
                </c:pt>
                <c:pt idx="41">
                  <c:v>48928571.428571463</c:v>
                </c:pt>
                <c:pt idx="42">
                  <c:v>50000000.000000037</c:v>
                </c:pt>
                <c:pt idx="43">
                  <c:v>51071428.571428612</c:v>
                </c:pt>
                <c:pt idx="44">
                  <c:v>52142857.142857186</c:v>
                </c:pt>
                <c:pt idx="45">
                  <c:v>53214285.714285761</c:v>
                </c:pt>
                <c:pt idx="46">
                  <c:v>54285714.285714336</c:v>
                </c:pt>
                <c:pt idx="47">
                  <c:v>55357142.85714291</c:v>
                </c:pt>
                <c:pt idx="48">
                  <c:v>56428571.428571485</c:v>
                </c:pt>
                <c:pt idx="49">
                  <c:v>57500000.00000006</c:v>
                </c:pt>
                <c:pt idx="50">
                  <c:v>58571428.571428634</c:v>
                </c:pt>
                <c:pt idx="51">
                  <c:v>59642857.142857209</c:v>
                </c:pt>
                <c:pt idx="52">
                  <c:v>60714285.714285783</c:v>
                </c:pt>
                <c:pt idx="53">
                  <c:v>61785714.285714358</c:v>
                </c:pt>
                <c:pt idx="54">
                  <c:v>62857142.857142933</c:v>
                </c:pt>
                <c:pt idx="55">
                  <c:v>63928571.428571507</c:v>
                </c:pt>
                <c:pt idx="56">
                  <c:v>65000000.000000082</c:v>
                </c:pt>
                <c:pt idx="57">
                  <c:v>66071428.571428657</c:v>
                </c:pt>
                <c:pt idx="58">
                  <c:v>67142857.142857224</c:v>
                </c:pt>
                <c:pt idx="59">
                  <c:v>68214285.714285791</c:v>
                </c:pt>
                <c:pt idx="60">
                  <c:v>69285714.285714358</c:v>
                </c:pt>
                <c:pt idx="61">
                  <c:v>70357142.857142925</c:v>
                </c:pt>
                <c:pt idx="62">
                  <c:v>71428571.428571492</c:v>
                </c:pt>
                <c:pt idx="63">
                  <c:v>72500000.00000006</c:v>
                </c:pt>
                <c:pt idx="64">
                  <c:v>73571428.571428627</c:v>
                </c:pt>
                <c:pt idx="65">
                  <c:v>74642857.142857194</c:v>
                </c:pt>
                <c:pt idx="66">
                  <c:v>75714285.714285761</c:v>
                </c:pt>
                <c:pt idx="67">
                  <c:v>76785714.285714328</c:v>
                </c:pt>
                <c:pt idx="68">
                  <c:v>77857142.857142895</c:v>
                </c:pt>
                <c:pt idx="69">
                  <c:v>78928571.428571463</c:v>
                </c:pt>
                <c:pt idx="70">
                  <c:v>80000000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B-49E1-8D90-F4EA052F1FB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Storage_Capacity!$C$2:$C$72</c:f>
              <c:numCache>
                <c:formatCode>0.00E+00</c:formatCode>
                <c:ptCount val="71"/>
                <c:pt idx="0">
                  <c:v>10000000</c:v>
                </c:pt>
                <c:pt idx="1">
                  <c:v>13428571.428571429</c:v>
                </c:pt>
                <c:pt idx="2">
                  <c:v>16857142.857142858</c:v>
                </c:pt>
                <c:pt idx="3">
                  <c:v>20285714.285714287</c:v>
                </c:pt>
                <c:pt idx="4">
                  <c:v>23714285.714285716</c:v>
                </c:pt>
                <c:pt idx="5">
                  <c:v>27142857.142857146</c:v>
                </c:pt>
                <c:pt idx="6">
                  <c:v>30571428.571428575</c:v>
                </c:pt>
                <c:pt idx="7">
                  <c:v>34000000</c:v>
                </c:pt>
                <c:pt idx="8">
                  <c:v>37428571.428571425</c:v>
                </c:pt>
                <c:pt idx="9">
                  <c:v>40857142.857142851</c:v>
                </c:pt>
                <c:pt idx="10">
                  <c:v>44285714.285714276</c:v>
                </c:pt>
                <c:pt idx="11">
                  <c:v>47714285.714285702</c:v>
                </c:pt>
                <c:pt idx="12">
                  <c:v>51142857.142857127</c:v>
                </c:pt>
                <c:pt idx="13">
                  <c:v>54571428.571428552</c:v>
                </c:pt>
                <c:pt idx="14">
                  <c:v>57999999.999999978</c:v>
                </c:pt>
                <c:pt idx="15">
                  <c:v>61428571.428571403</c:v>
                </c:pt>
                <c:pt idx="16">
                  <c:v>64857142.857142828</c:v>
                </c:pt>
                <c:pt idx="17">
                  <c:v>68285714.285714254</c:v>
                </c:pt>
                <c:pt idx="18">
                  <c:v>71714285.714285687</c:v>
                </c:pt>
                <c:pt idx="19">
                  <c:v>75142857.142857119</c:v>
                </c:pt>
                <c:pt idx="20">
                  <c:v>78571428.571428552</c:v>
                </c:pt>
                <c:pt idx="21">
                  <c:v>81999999.999999985</c:v>
                </c:pt>
                <c:pt idx="22">
                  <c:v>85428571.428571418</c:v>
                </c:pt>
                <c:pt idx="23">
                  <c:v>88857142.857142851</c:v>
                </c:pt>
                <c:pt idx="24">
                  <c:v>92285714.285714284</c:v>
                </c:pt>
                <c:pt idx="25">
                  <c:v>95714285.714285716</c:v>
                </c:pt>
                <c:pt idx="26">
                  <c:v>99142857.142857149</c:v>
                </c:pt>
                <c:pt idx="27">
                  <c:v>102571428.57142858</c:v>
                </c:pt>
                <c:pt idx="28">
                  <c:v>106000000.00000001</c:v>
                </c:pt>
                <c:pt idx="29">
                  <c:v>109428571.42857145</c:v>
                </c:pt>
                <c:pt idx="30">
                  <c:v>112857142.85714288</c:v>
                </c:pt>
                <c:pt idx="31">
                  <c:v>116285714.28571431</c:v>
                </c:pt>
                <c:pt idx="32">
                  <c:v>119714285.71428575</c:v>
                </c:pt>
                <c:pt idx="33">
                  <c:v>123142857.14285718</c:v>
                </c:pt>
                <c:pt idx="34">
                  <c:v>126571428.57142861</c:v>
                </c:pt>
                <c:pt idx="35">
                  <c:v>130000000.00000004</c:v>
                </c:pt>
                <c:pt idx="36">
                  <c:v>133428571.42857148</c:v>
                </c:pt>
                <c:pt idx="37">
                  <c:v>136857142.8571429</c:v>
                </c:pt>
                <c:pt idx="38">
                  <c:v>140285714.28571433</c:v>
                </c:pt>
                <c:pt idx="39">
                  <c:v>143714285.71428576</c:v>
                </c:pt>
                <c:pt idx="40">
                  <c:v>147142857.14285719</c:v>
                </c:pt>
                <c:pt idx="41">
                  <c:v>150571428.57142863</c:v>
                </c:pt>
                <c:pt idx="42">
                  <c:v>154000000.00000006</c:v>
                </c:pt>
                <c:pt idx="43">
                  <c:v>157428571.42857149</c:v>
                </c:pt>
                <c:pt idx="44">
                  <c:v>160857142.85714293</c:v>
                </c:pt>
                <c:pt idx="45">
                  <c:v>164285714.28571436</c:v>
                </c:pt>
                <c:pt idx="46">
                  <c:v>167714285.71428579</c:v>
                </c:pt>
                <c:pt idx="47">
                  <c:v>171142857.14285722</c:v>
                </c:pt>
                <c:pt idx="48">
                  <c:v>174571428.57142866</c:v>
                </c:pt>
                <c:pt idx="49">
                  <c:v>178000000.00000009</c:v>
                </c:pt>
                <c:pt idx="50">
                  <c:v>181428571.42857152</c:v>
                </c:pt>
                <c:pt idx="51">
                  <c:v>184857142.85714296</c:v>
                </c:pt>
                <c:pt idx="52">
                  <c:v>188285714.28571439</c:v>
                </c:pt>
                <c:pt idx="53">
                  <c:v>191714285.71428582</c:v>
                </c:pt>
                <c:pt idx="54">
                  <c:v>195142857.14285725</c:v>
                </c:pt>
                <c:pt idx="55">
                  <c:v>198571428.57142869</c:v>
                </c:pt>
                <c:pt idx="56">
                  <c:v>202000000.00000012</c:v>
                </c:pt>
                <c:pt idx="57">
                  <c:v>205428571.42857155</c:v>
                </c:pt>
                <c:pt idx="58">
                  <c:v>208857142.85714298</c:v>
                </c:pt>
                <c:pt idx="59">
                  <c:v>212285714.28571442</c:v>
                </c:pt>
                <c:pt idx="60">
                  <c:v>215714285.71428585</c:v>
                </c:pt>
                <c:pt idx="61">
                  <c:v>219142857.14285728</c:v>
                </c:pt>
                <c:pt idx="62">
                  <c:v>222571428.57142872</c:v>
                </c:pt>
                <c:pt idx="63">
                  <c:v>226000000.00000015</c:v>
                </c:pt>
                <c:pt idx="64">
                  <c:v>229428571.42857158</c:v>
                </c:pt>
                <c:pt idx="65">
                  <c:v>232857142.85714301</c:v>
                </c:pt>
                <c:pt idx="66">
                  <c:v>236285714.28571445</c:v>
                </c:pt>
                <c:pt idx="67">
                  <c:v>239714285.71428588</c:v>
                </c:pt>
                <c:pt idx="68">
                  <c:v>243142857.14285731</c:v>
                </c:pt>
                <c:pt idx="69">
                  <c:v>246571428.57142875</c:v>
                </c:pt>
                <c:pt idx="70">
                  <c:v>250000000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B-49E1-8D90-F4EA052F1FB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Storage_Capacity!$D$2:$D$72</c:f>
              <c:numCache>
                <c:formatCode>0.00E+00</c:formatCode>
                <c:ptCount val="71"/>
                <c:pt idx="0">
                  <c:v>15000000</c:v>
                </c:pt>
                <c:pt idx="1">
                  <c:v>20500000</c:v>
                </c:pt>
                <c:pt idx="2">
                  <c:v>26000000</c:v>
                </c:pt>
                <c:pt idx="3">
                  <c:v>31500000</c:v>
                </c:pt>
                <c:pt idx="4">
                  <c:v>37000000</c:v>
                </c:pt>
                <c:pt idx="5">
                  <c:v>42500000</c:v>
                </c:pt>
                <c:pt idx="6">
                  <c:v>48000000</c:v>
                </c:pt>
                <c:pt idx="7">
                  <c:v>53500000</c:v>
                </c:pt>
                <c:pt idx="8">
                  <c:v>59000000</c:v>
                </c:pt>
                <c:pt idx="9">
                  <c:v>64500000</c:v>
                </c:pt>
                <c:pt idx="10">
                  <c:v>70000000</c:v>
                </c:pt>
                <c:pt idx="11">
                  <c:v>75500000</c:v>
                </c:pt>
                <c:pt idx="12">
                  <c:v>81000000</c:v>
                </c:pt>
                <c:pt idx="13">
                  <c:v>86500000</c:v>
                </c:pt>
                <c:pt idx="14">
                  <c:v>92000000</c:v>
                </c:pt>
                <c:pt idx="15">
                  <c:v>97500000</c:v>
                </c:pt>
                <c:pt idx="16">
                  <c:v>103000000</c:v>
                </c:pt>
                <c:pt idx="17">
                  <c:v>108500000</c:v>
                </c:pt>
                <c:pt idx="18">
                  <c:v>114000000</c:v>
                </c:pt>
                <c:pt idx="19">
                  <c:v>119500000</c:v>
                </c:pt>
                <c:pt idx="20">
                  <c:v>125000000</c:v>
                </c:pt>
                <c:pt idx="21">
                  <c:v>130500000</c:v>
                </c:pt>
                <c:pt idx="22">
                  <c:v>136000000</c:v>
                </c:pt>
                <c:pt idx="23">
                  <c:v>141500000</c:v>
                </c:pt>
                <c:pt idx="24">
                  <c:v>147000000</c:v>
                </c:pt>
                <c:pt idx="25">
                  <c:v>152500000</c:v>
                </c:pt>
                <c:pt idx="26">
                  <c:v>158000000</c:v>
                </c:pt>
                <c:pt idx="27">
                  <c:v>163500000</c:v>
                </c:pt>
                <c:pt idx="28">
                  <c:v>169000000</c:v>
                </c:pt>
                <c:pt idx="29">
                  <c:v>174500000</c:v>
                </c:pt>
                <c:pt idx="30">
                  <c:v>180000000</c:v>
                </c:pt>
                <c:pt idx="31">
                  <c:v>185500000</c:v>
                </c:pt>
                <c:pt idx="32">
                  <c:v>191000000</c:v>
                </c:pt>
                <c:pt idx="33">
                  <c:v>196500000</c:v>
                </c:pt>
                <c:pt idx="34">
                  <c:v>202000000</c:v>
                </c:pt>
                <c:pt idx="35">
                  <c:v>207500000</c:v>
                </c:pt>
                <c:pt idx="36">
                  <c:v>213000000</c:v>
                </c:pt>
                <c:pt idx="37">
                  <c:v>218500000</c:v>
                </c:pt>
                <c:pt idx="38">
                  <c:v>224000000</c:v>
                </c:pt>
                <c:pt idx="39">
                  <c:v>229500000</c:v>
                </c:pt>
                <c:pt idx="40">
                  <c:v>235000000</c:v>
                </c:pt>
                <c:pt idx="41">
                  <c:v>240500000</c:v>
                </c:pt>
                <c:pt idx="42">
                  <c:v>246000000</c:v>
                </c:pt>
                <c:pt idx="43">
                  <c:v>251500000</c:v>
                </c:pt>
                <c:pt idx="44">
                  <c:v>257000000</c:v>
                </c:pt>
                <c:pt idx="45">
                  <c:v>262500000</c:v>
                </c:pt>
                <c:pt idx="46">
                  <c:v>268000000</c:v>
                </c:pt>
                <c:pt idx="47">
                  <c:v>273500000</c:v>
                </c:pt>
                <c:pt idx="48">
                  <c:v>279000000</c:v>
                </c:pt>
                <c:pt idx="49">
                  <c:v>284500000</c:v>
                </c:pt>
                <c:pt idx="50">
                  <c:v>290000000</c:v>
                </c:pt>
                <c:pt idx="51">
                  <c:v>295500000</c:v>
                </c:pt>
                <c:pt idx="52">
                  <c:v>301000000</c:v>
                </c:pt>
                <c:pt idx="53">
                  <c:v>306500000</c:v>
                </c:pt>
                <c:pt idx="54">
                  <c:v>312000000</c:v>
                </c:pt>
                <c:pt idx="55">
                  <c:v>317500000</c:v>
                </c:pt>
                <c:pt idx="56">
                  <c:v>323000000</c:v>
                </c:pt>
                <c:pt idx="57">
                  <c:v>328500000</c:v>
                </c:pt>
                <c:pt idx="58">
                  <c:v>334000000</c:v>
                </c:pt>
                <c:pt idx="59">
                  <c:v>339500000</c:v>
                </c:pt>
                <c:pt idx="60">
                  <c:v>345000000</c:v>
                </c:pt>
                <c:pt idx="61">
                  <c:v>350500000</c:v>
                </c:pt>
                <c:pt idx="62">
                  <c:v>356000000</c:v>
                </c:pt>
                <c:pt idx="63">
                  <c:v>361500000</c:v>
                </c:pt>
                <c:pt idx="64">
                  <c:v>367000000</c:v>
                </c:pt>
                <c:pt idx="65">
                  <c:v>372500000</c:v>
                </c:pt>
                <c:pt idx="66">
                  <c:v>378000000</c:v>
                </c:pt>
                <c:pt idx="67">
                  <c:v>383500000</c:v>
                </c:pt>
                <c:pt idx="68">
                  <c:v>389000000</c:v>
                </c:pt>
                <c:pt idx="69">
                  <c:v>394500000</c:v>
                </c:pt>
                <c:pt idx="70">
                  <c:v>400000000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BB-49E1-8D90-F4EA052F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262687"/>
        <c:axId val="768280447"/>
      </c:lineChart>
      <c:catAx>
        <c:axId val="768262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80447"/>
        <c:crosses val="autoZero"/>
        <c:auto val="1"/>
        <c:lblAlgn val="ctr"/>
        <c:lblOffset val="100"/>
        <c:noMultiLvlLbl val="0"/>
      </c:catAx>
      <c:valAx>
        <c:axId val="76828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2</xdr:row>
      <xdr:rowOff>90487</xdr:rowOff>
    </xdr:from>
    <xdr:to>
      <xdr:col>12</xdr:col>
      <xdr:colOff>276225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3D21A-1D6B-8C8B-EB4D-BC4E206F4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2"/>
  <sheetViews>
    <sheetView tabSelected="1" workbookViewId="0">
      <selection activeCell="R8" sqref="R8"/>
    </sheetView>
  </sheetViews>
  <sheetFormatPr defaultRowHeight="15" x14ac:dyDescent="0.25"/>
  <cols>
    <col min="1" max="1" width="13" customWidth="1"/>
    <col min="2" max="2" width="19.85546875" customWidth="1"/>
    <col min="3" max="3" width="16.28515625" customWidth="1"/>
    <col min="4" max="4" width="14.42578125" customWidth="1"/>
    <col min="5" max="5" width="4.85546875" customWidth="1"/>
    <col min="9" max="9" width="5.85546875" customWidth="1"/>
  </cols>
  <sheetData>
    <row r="1" spans="1:12" x14ac:dyDescent="0.25">
      <c r="A1" s="2" t="s">
        <v>0</v>
      </c>
      <c r="B1" s="2" t="s">
        <v>16</v>
      </c>
      <c r="C1" s="2" t="s">
        <v>17</v>
      </c>
      <c r="D1" s="2" t="s">
        <v>18</v>
      </c>
      <c r="F1" s="24"/>
      <c r="G1" s="24"/>
      <c r="H1" s="24"/>
      <c r="J1" s="24"/>
      <c r="K1" s="24"/>
      <c r="L1" s="24"/>
    </row>
    <row r="2" spans="1:12" x14ac:dyDescent="0.25">
      <c r="A2" s="3">
        <v>2030</v>
      </c>
      <c r="B2" s="8">
        <v>10000000</v>
      </c>
      <c r="C2" s="8">
        <v>10000000</v>
      </c>
      <c r="D2" s="8">
        <v>10000000</v>
      </c>
      <c r="E2" s="11"/>
      <c r="F2" s="11"/>
      <c r="G2" s="11"/>
      <c r="H2" s="11"/>
      <c r="J2" s="11"/>
      <c r="K2" s="11"/>
      <c r="L2" s="11"/>
    </row>
    <row r="3" spans="1:12" x14ac:dyDescent="0.25">
      <c r="A3" s="3">
        <v>2031</v>
      </c>
      <c r="B3" s="8">
        <f>B2+((B$72-B$2)/70)</f>
        <v>11285714.285714285</v>
      </c>
      <c r="C3" s="8">
        <f t="shared" ref="C3:D3" si="0">C2+((C$72-C$2)/70)</f>
        <v>14142857.142857142</v>
      </c>
      <c r="D3" s="8">
        <f t="shared" si="0"/>
        <v>17000000</v>
      </c>
      <c r="E3" s="11"/>
      <c r="F3" s="14"/>
      <c r="G3" s="14"/>
      <c r="H3" s="14"/>
      <c r="J3" s="11"/>
      <c r="K3" s="11"/>
      <c r="L3" s="11"/>
    </row>
    <row r="4" spans="1:12" x14ac:dyDescent="0.25">
      <c r="A4" s="3">
        <v>2032</v>
      </c>
      <c r="B4" s="8">
        <f t="shared" ref="B4:B67" si="1">B3+((B$72-B$2)/70)</f>
        <v>12571428.571428571</v>
      </c>
      <c r="C4" s="8">
        <f t="shared" ref="C4:C67" si="2">C3+((C$72-C$2)/70)</f>
        <v>18285714.285714284</v>
      </c>
      <c r="D4" s="8">
        <f t="shared" ref="D4:D67" si="3">D3+((D$72-D$2)/70)</f>
        <v>24000000</v>
      </c>
      <c r="E4" s="11"/>
      <c r="F4" s="14"/>
      <c r="G4" s="14"/>
      <c r="H4" s="14"/>
      <c r="J4" s="11"/>
      <c r="K4" s="11"/>
      <c r="L4" s="11"/>
    </row>
    <row r="5" spans="1:12" x14ac:dyDescent="0.25">
      <c r="A5" s="3">
        <v>2033</v>
      </c>
      <c r="B5" s="8">
        <f t="shared" si="1"/>
        <v>13857142.857142856</v>
      </c>
      <c r="C5" s="8">
        <f t="shared" si="2"/>
        <v>22428571.428571425</v>
      </c>
      <c r="D5" s="8">
        <f t="shared" si="3"/>
        <v>31000000</v>
      </c>
      <c r="E5" s="11"/>
      <c r="F5" s="14"/>
      <c r="G5" s="14"/>
      <c r="H5" s="14"/>
      <c r="J5" s="11"/>
      <c r="K5" s="11"/>
      <c r="L5" s="11"/>
    </row>
    <row r="6" spans="1:12" x14ac:dyDescent="0.25">
      <c r="A6" s="3">
        <v>2034</v>
      </c>
      <c r="B6" s="8">
        <f t="shared" si="1"/>
        <v>15142857.142857142</v>
      </c>
      <c r="C6" s="8">
        <f t="shared" si="2"/>
        <v>26571428.571428567</v>
      </c>
      <c r="D6" s="8">
        <f t="shared" si="3"/>
        <v>38000000</v>
      </c>
      <c r="E6" s="11"/>
      <c r="F6" s="14"/>
      <c r="G6" s="14"/>
      <c r="H6" s="14"/>
      <c r="J6" s="11"/>
      <c r="K6" s="11"/>
      <c r="L6" s="11"/>
    </row>
    <row r="7" spans="1:12" x14ac:dyDescent="0.25">
      <c r="A7" s="3">
        <v>2035</v>
      </c>
      <c r="B7" s="8">
        <f t="shared" si="1"/>
        <v>16428571.428571427</v>
      </c>
      <c r="C7" s="8">
        <f t="shared" si="2"/>
        <v>30714285.714285709</v>
      </c>
      <c r="D7" s="8">
        <f t="shared" si="3"/>
        <v>45000000</v>
      </c>
      <c r="E7" s="11"/>
      <c r="F7" s="14"/>
      <c r="G7" s="14"/>
      <c r="H7" s="14"/>
      <c r="J7" s="11"/>
      <c r="K7" s="11"/>
      <c r="L7" s="11"/>
    </row>
    <row r="8" spans="1:12" x14ac:dyDescent="0.25">
      <c r="A8" s="3">
        <v>2036</v>
      </c>
      <c r="B8" s="8">
        <f t="shared" si="1"/>
        <v>17714285.714285713</v>
      </c>
      <c r="C8" s="8">
        <f t="shared" si="2"/>
        <v>34857142.857142851</v>
      </c>
      <c r="D8" s="8">
        <f t="shared" si="3"/>
        <v>52000000</v>
      </c>
      <c r="E8" s="11"/>
      <c r="F8" s="14"/>
      <c r="G8" s="14"/>
      <c r="H8" s="14"/>
      <c r="J8" s="11"/>
      <c r="K8" s="11"/>
      <c r="L8" s="11"/>
    </row>
    <row r="9" spans="1:12" x14ac:dyDescent="0.25">
      <c r="A9" s="3">
        <v>2037</v>
      </c>
      <c r="B9" s="8">
        <f t="shared" si="1"/>
        <v>19000000</v>
      </c>
      <c r="C9" s="8">
        <f t="shared" si="2"/>
        <v>38999999.999999993</v>
      </c>
      <c r="D9" s="8">
        <f t="shared" si="3"/>
        <v>59000000</v>
      </c>
      <c r="E9" s="11"/>
      <c r="F9" s="14"/>
      <c r="G9" s="14"/>
      <c r="H9" s="14"/>
      <c r="J9" s="11"/>
      <c r="K9" s="11"/>
      <c r="L9" s="11"/>
    </row>
    <row r="10" spans="1:12" x14ac:dyDescent="0.25">
      <c r="A10" s="3">
        <v>2038</v>
      </c>
      <c r="B10" s="8">
        <f t="shared" si="1"/>
        <v>20285714.285714287</v>
      </c>
      <c r="C10" s="8">
        <f t="shared" si="2"/>
        <v>43142857.142857134</v>
      </c>
      <c r="D10" s="8">
        <f t="shared" si="3"/>
        <v>66000000</v>
      </c>
      <c r="E10" s="11"/>
      <c r="F10" s="14"/>
      <c r="G10" s="14"/>
      <c r="H10" s="14"/>
      <c r="J10" s="11"/>
      <c r="K10" s="11"/>
      <c r="L10" s="11"/>
    </row>
    <row r="11" spans="1:12" x14ac:dyDescent="0.25">
      <c r="A11" s="3">
        <v>2039</v>
      </c>
      <c r="B11" s="8">
        <f t="shared" si="1"/>
        <v>21571428.571428575</v>
      </c>
      <c r="C11" s="8">
        <f t="shared" si="2"/>
        <v>47285714.285714276</v>
      </c>
      <c r="D11" s="8">
        <f t="shared" si="3"/>
        <v>73000000</v>
      </c>
      <c r="E11" s="11"/>
      <c r="F11" s="14"/>
      <c r="G11" s="14"/>
      <c r="H11" s="14"/>
      <c r="J11" s="11"/>
      <c r="K11" s="11"/>
      <c r="L11" s="11"/>
    </row>
    <row r="12" spans="1:12" x14ac:dyDescent="0.25">
      <c r="A12" s="3">
        <v>2040</v>
      </c>
      <c r="B12" s="8">
        <f t="shared" si="1"/>
        <v>22857142.857142862</v>
      </c>
      <c r="C12" s="8">
        <f t="shared" si="2"/>
        <v>51428571.428571418</v>
      </c>
      <c r="D12" s="8">
        <f t="shared" si="3"/>
        <v>80000000</v>
      </c>
      <c r="E12" s="11"/>
      <c r="F12" s="14"/>
      <c r="G12" s="14"/>
      <c r="H12" s="14"/>
      <c r="J12" s="11"/>
      <c r="K12" s="11"/>
      <c r="L12" s="11"/>
    </row>
    <row r="13" spans="1:12" x14ac:dyDescent="0.25">
      <c r="A13" s="3">
        <v>2041</v>
      </c>
      <c r="B13" s="8">
        <f t="shared" si="1"/>
        <v>24142857.142857149</v>
      </c>
      <c r="C13" s="8">
        <f t="shared" si="2"/>
        <v>55571428.57142856</v>
      </c>
      <c r="D13" s="8">
        <f t="shared" si="3"/>
        <v>87000000</v>
      </c>
      <c r="E13" s="11"/>
      <c r="F13" s="14"/>
      <c r="G13" s="14"/>
      <c r="H13" s="14"/>
      <c r="J13" s="11"/>
      <c r="K13" s="11"/>
      <c r="L13" s="11"/>
    </row>
    <row r="14" spans="1:12" x14ac:dyDescent="0.25">
      <c r="A14" s="3">
        <v>2042</v>
      </c>
      <c r="B14" s="8">
        <f t="shared" si="1"/>
        <v>25428571.428571437</v>
      </c>
      <c r="C14" s="8">
        <f t="shared" si="2"/>
        <v>59714285.714285702</v>
      </c>
      <c r="D14" s="8">
        <f t="shared" si="3"/>
        <v>94000000</v>
      </c>
      <c r="E14" s="11"/>
      <c r="F14" s="14"/>
      <c r="G14" s="14"/>
      <c r="H14" s="14"/>
      <c r="J14" s="11"/>
      <c r="K14" s="11"/>
      <c r="L14" s="11"/>
    </row>
    <row r="15" spans="1:12" x14ac:dyDescent="0.25">
      <c r="A15" s="3">
        <v>2043</v>
      </c>
      <c r="B15" s="8">
        <f t="shared" si="1"/>
        <v>26714285.714285724</v>
      </c>
      <c r="C15" s="8">
        <f t="shared" si="2"/>
        <v>63857142.857142843</v>
      </c>
      <c r="D15" s="8">
        <f t="shared" si="3"/>
        <v>101000000</v>
      </c>
      <c r="E15" s="11"/>
      <c r="F15" s="14"/>
      <c r="G15" s="14"/>
      <c r="H15" s="14"/>
      <c r="J15" s="11"/>
      <c r="K15" s="11"/>
      <c r="L15" s="11"/>
    </row>
    <row r="16" spans="1:12" x14ac:dyDescent="0.25">
      <c r="A16" s="3">
        <v>2044</v>
      </c>
      <c r="B16" s="8">
        <f t="shared" si="1"/>
        <v>28000000.000000011</v>
      </c>
      <c r="C16" s="8">
        <f t="shared" si="2"/>
        <v>67999999.999999985</v>
      </c>
      <c r="D16" s="8">
        <f t="shared" si="3"/>
        <v>108000000</v>
      </c>
      <c r="E16" s="11"/>
      <c r="F16" s="14"/>
      <c r="G16" s="14"/>
      <c r="H16" s="14"/>
      <c r="J16" s="11"/>
      <c r="K16" s="11"/>
      <c r="L16" s="11"/>
    </row>
    <row r="17" spans="1:12" x14ac:dyDescent="0.25">
      <c r="A17" s="3">
        <v>2045</v>
      </c>
      <c r="B17" s="8">
        <f t="shared" si="1"/>
        <v>29285714.285714298</v>
      </c>
      <c r="C17" s="8">
        <f t="shared" si="2"/>
        <v>72142857.142857134</v>
      </c>
      <c r="D17" s="8">
        <f t="shared" si="3"/>
        <v>115000000</v>
      </c>
      <c r="E17" s="11"/>
      <c r="F17" s="14"/>
      <c r="G17" s="14"/>
      <c r="H17" s="14"/>
      <c r="J17" s="11"/>
      <c r="K17" s="11"/>
      <c r="L17" s="11"/>
    </row>
    <row r="18" spans="1:12" x14ac:dyDescent="0.25">
      <c r="A18" s="3">
        <v>2046</v>
      </c>
      <c r="B18" s="8">
        <f t="shared" si="1"/>
        <v>30571428.571428586</v>
      </c>
      <c r="C18" s="8">
        <f t="shared" si="2"/>
        <v>76285714.285714284</v>
      </c>
      <c r="D18" s="8">
        <f t="shared" si="3"/>
        <v>122000000</v>
      </c>
      <c r="E18" s="11"/>
      <c r="F18" s="14"/>
      <c r="G18" s="14"/>
      <c r="H18" s="14"/>
      <c r="J18" s="11"/>
      <c r="K18" s="11"/>
      <c r="L18" s="11"/>
    </row>
    <row r="19" spans="1:12" x14ac:dyDescent="0.25">
      <c r="A19" s="3">
        <v>2047</v>
      </c>
      <c r="B19" s="8">
        <f t="shared" si="1"/>
        <v>31857142.857142873</v>
      </c>
      <c r="C19" s="8">
        <f t="shared" si="2"/>
        <v>80428571.428571433</v>
      </c>
      <c r="D19" s="8">
        <f t="shared" si="3"/>
        <v>129000000</v>
      </c>
      <c r="E19" s="11"/>
      <c r="F19" s="14"/>
      <c r="G19" s="14"/>
      <c r="H19" s="14"/>
      <c r="J19" s="11"/>
      <c r="K19" s="11"/>
      <c r="L19" s="11"/>
    </row>
    <row r="20" spans="1:12" x14ac:dyDescent="0.25">
      <c r="A20" s="3">
        <v>2048</v>
      </c>
      <c r="B20" s="8">
        <f t="shared" si="1"/>
        <v>33142857.14285716</v>
      </c>
      <c r="C20" s="8">
        <f t="shared" si="2"/>
        <v>84571428.571428582</v>
      </c>
      <c r="D20" s="8">
        <f t="shared" si="3"/>
        <v>136000000</v>
      </c>
      <c r="E20" s="11"/>
      <c r="F20" s="14"/>
      <c r="G20" s="14"/>
      <c r="H20" s="14"/>
      <c r="J20" s="11"/>
      <c r="K20" s="11"/>
      <c r="L20" s="11"/>
    </row>
    <row r="21" spans="1:12" x14ac:dyDescent="0.25">
      <c r="A21" s="3">
        <v>2049</v>
      </c>
      <c r="B21" s="8">
        <f t="shared" si="1"/>
        <v>34428571.428571448</v>
      </c>
      <c r="C21" s="8">
        <f t="shared" si="2"/>
        <v>88714285.714285731</v>
      </c>
      <c r="D21" s="8">
        <f t="shared" si="3"/>
        <v>143000000</v>
      </c>
      <c r="E21" s="11"/>
      <c r="F21" s="14"/>
      <c r="G21" s="14"/>
      <c r="H21" s="14"/>
      <c r="J21" s="11"/>
      <c r="K21" s="11"/>
      <c r="L21" s="11"/>
    </row>
    <row r="22" spans="1:12" x14ac:dyDescent="0.25">
      <c r="A22" s="3">
        <v>2050</v>
      </c>
      <c r="B22" s="8">
        <f t="shared" si="1"/>
        <v>35714285.714285731</v>
      </c>
      <c r="C22" s="8">
        <f t="shared" si="2"/>
        <v>92857142.857142881</v>
      </c>
      <c r="D22" s="8">
        <f t="shared" si="3"/>
        <v>150000000</v>
      </c>
      <c r="E22" s="11"/>
      <c r="F22" s="14"/>
      <c r="G22" s="14"/>
      <c r="H22" s="14"/>
      <c r="J22" s="11"/>
      <c r="K22" s="11"/>
      <c r="L22" s="11"/>
    </row>
    <row r="23" spans="1:12" x14ac:dyDescent="0.25">
      <c r="A23" s="3">
        <v>2051</v>
      </c>
      <c r="B23" s="8">
        <f t="shared" si="1"/>
        <v>37000000.000000015</v>
      </c>
      <c r="C23" s="8">
        <f t="shared" si="2"/>
        <v>97000000.00000003</v>
      </c>
      <c r="D23" s="8">
        <f t="shared" si="3"/>
        <v>157000000</v>
      </c>
      <c r="E23" s="11"/>
      <c r="F23" s="14"/>
      <c r="G23" s="14"/>
      <c r="H23" s="14"/>
      <c r="J23" s="11"/>
      <c r="K23" s="11"/>
      <c r="L23" s="11"/>
    </row>
    <row r="24" spans="1:12" x14ac:dyDescent="0.25">
      <c r="A24" s="3">
        <v>2052</v>
      </c>
      <c r="B24" s="8">
        <f t="shared" si="1"/>
        <v>38285714.285714298</v>
      </c>
      <c r="C24" s="8">
        <f t="shared" si="2"/>
        <v>101142857.14285718</v>
      </c>
      <c r="D24" s="8">
        <f t="shared" si="3"/>
        <v>164000000</v>
      </c>
      <c r="E24" s="11"/>
      <c r="F24" s="14"/>
      <c r="G24" s="14"/>
      <c r="H24" s="14"/>
      <c r="J24" s="11"/>
      <c r="K24" s="11"/>
      <c r="L24" s="11"/>
    </row>
    <row r="25" spans="1:12" x14ac:dyDescent="0.25">
      <c r="A25" s="3">
        <v>2053</v>
      </c>
      <c r="B25" s="8">
        <f t="shared" si="1"/>
        <v>39571428.571428582</v>
      </c>
      <c r="C25" s="8">
        <f t="shared" si="2"/>
        <v>105285714.28571433</v>
      </c>
      <c r="D25" s="8">
        <f t="shared" si="3"/>
        <v>171000000</v>
      </c>
      <c r="E25" s="11"/>
      <c r="F25" s="14"/>
      <c r="G25" s="14"/>
      <c r="H25" s="14"/>
      <c r="J25" s="11"/>
      <c r="K25" s="11"/>
      <c r="L25" s="11"/>
    </row>
    <row r="26" spans="1:12" x14ac:dyDescent="0.25">
      <c r="A26" s="3">
        <v>2054</v>
      </c>
      <c r="B26" s="8">
        <f t="shared" si="1"/>
        <v>40857142.857142866</v>
      </c>
      <c r="C26" s="8">
        <f t="shared" si="2"/>
        <v>109428571.42857148</v>
      </c>
      <c r="D26" s="8">
        <f t="shared" si="3"/>
        <v>178000000</v>
      </c>
      <c r="E26" s="11"/>
      <c r="F26" s="14"/>
      <c r="G26" s="14"/>
      <c r="H26" s="14"/>
      <c r="J26" s="11"/>
      <c r="K26" s="11"/>
      <c r="L26" s="11"/>
    </row>
    <row r="27" spans="1:12" x14ac:dyDescent="0.25">
      <c r="A27" s="3">
        <v>2055</v>
      </c>
      <c r="B27" s="8">
        <f t="shared" si="1"/>
        <v>42142857.142857149</v>
      </c>
      <c r="C27" s="8">
        <f t="shared" si="2"/>
        <v>113571428.57142863</v>
      </c>
      <c r="D27" s="8">
        <f t="shared" si="3"/>
        <v>185000000</v>
      </c>
      <c r="E27" s="11"/>
      <c r="F27" s="14"/>
      <c r="G27" s="14"/>
      <c r="H27" s="14"/>
      <c r="J27" s="11"/>
      <c r="K27" s="11"/>
      <c r="L27" s="11"/>
    </row>
    <row r="28" spans="1:12" x14ac:dyDescent="0.25">
      <c r="A28" s="3">
        <v>2056</v>
      </c>
      <c r="B28" s="8">
        <f t="shared" si="1"/>
        <v>43428571.428571433</v>
      </c>
      <c r="C28" s="8">
        <f t="shared" si="2"/>
        <v>117714285.71428578</v>
      </c>
      <c r="D28" s="8">
        <f t="shared" si="3"/>
        <v>192000000</v>
      </c>
      <c r="E28" s="11"/>
      <c r="F28" s="14"/>
      <c r="G28" s="14"/>
      <c r="H28" s="14"/>
      <c r="J28" s="11"/>
      <c r="K28" s="11"/>
      <c r="L28" s="11"/>
    </row>
    <row r="29" spans="1:12" x14ac:dyDescent="0.25">
      <c r="A29" s="3">
        <v>2057</v>
      </c>
      <c r="B29" s="8">
        <f t="shared" si="1"/>
        <v>44714285.714285716</v>
      </c>
      <c r="C29" s="8">
        <f t="shared" si="2"/>
        <v>121857142.85714293</v>
      </c>
      <c r="D29" s="8">
        <f t="shared" si="3"/>
        <v>199000000</v>
      </c>
      <c r="E29" s="11"/>
      <c r="F29" s="14"/>
      <c r="G29" s="14"/>
      <c r="H29" s="14"/>
      <c r="J29" s="11"/>
      <c r="K29" s="11"/>
      <c r="L29" s="11"/>
    </row>
    <row r="30" spans="1:12" x14ac:dyDescent="0.25">
      <c r="A30" s="3">
        <v>2058</v>
      </c>
      <c r="B30" s="8">
        <f t="shared" si="1"/>
        <v>46000000</v>
      </c>
      <c r="C30" s="8">
        <f t="shared" si="2"/>
        <v>126000000.00000007</v>
      </c>
      <c r="D30" s="8">
        <f t="shared" si="3"/>
        <v>206000000</v>
      </c>
      <c r="E30" s="11"/>
      <c r="F30" s="14"/>
      <c r="G30" s="14"/>
      <c r="H30" s="14"/>
      <c r="J30" s="11"/>
      <c r="K30" s="11"/>
      <c r="L30" s="11"/>
    </row>
    <row r="31" spans="1:12" x14ac:dyDescent="0.25">
      <c r="A31" s="3">
        <v>2059</v>
      </c>
      <c r="B31" s="8">
        <f t="shared" si="1"/>
        <v>47285714.285714284</v>
      </c>
      <c r="C31" s="8">
        <f t="shared" si="2"/>
        <v>130142857.14285722</v>
      </c>
      <c r="D31" s="8">
        <f t="shared" si="3"/>
        <v>213000000</v>
      </c>
      <c r="E31" s="11"/>
      <c r="F31" s="14"/>
      <c r="G31" s="14"/>
      <c r="H31" s="14"/>
      <c r="J31" s="11"/>
      <c r="K31" s="11"/>
      <c r="L31" s="11"/>
    </row>
    <row r="32" spans="1:12" x14ac:dyDescent="0.25">
      <c r="A32" s="3">
        <v>2060</v>
      </c>
      <c r="B32" s="8">
        <f t="shared" si="1"/>
        <v>48571428.571428567</v>
      </c>
      <c r="C32" s="8">
        <f t="shared" si="2"/>
        <v>134285714.28571436</v>
      </c>
      <c r="D32" s="8">
        <f t="shared" si="3"/>
        <v>220000000</v>
      </c>
      <c r="E32" s="11"/>
      <c r="F32" s="14"/>
      <c r="G32" s="14"/>
      <c r="H32" s="14"/>
      <c r="J32" s="11"/>
      <c r="K32" s="11"/>
      <c r="L32" s="11"/>
    </row>
    <row r="33" spans="1:12" x14ac:dyDescent="0.25">
      <c r="A33" s="3">
        <v>2061</v>
      </c>
      <c r="B33" s="8">
        <f t="shared" si="1"/>
        <v>49857142.857142851</v>
      </c>
      <c r="C33" s="8">
        <f t="shared" si="2"/>
        <v>138428571.42857149</v>
      </c>
      <c r="D33" s="8">
        <f t="shared" si="3"/>
        <v>227000000</v>
      </c>
      <c r="E33" s="11"/>
      <c r="F33" s="14"/>
      <c r="G33" s="14"/>
      <c r="H33" s="14"/>
      <c r="J33" s="11"/>
      <c r="K33" s="11"/>
      <c r="L33" s="11"/>
    </row>
    <row r="34" spans="1:12" x14ac:dyDescent="0.25">
      <c r="A34" s="3">
        <v>2062</v>
      </c>
      <c r="B34" s="8">
        <f t="shared" si="1"/>
        <v>51142857.142857134</v>
      </c>
      <c r="C34" s="8">
        <f t="shared" si="2"/>
        <v>142571428.57142863</v>
      </c>
      <c r="D34" s="8">
        <f t="shared" si="3"/>
        <v>234000000</v>
      </c>
      <c r="E34" s="11"/>
      <c r="F34" s="14"/>
      <c r="G34" s="14"/>
      <c r="H34" s="14"/>
      <c r="J34" s="11"/>
      <c r="K34" s="11"/>
      <c r="L34" s="11"/>
    </row>
    <row r="35" spans="1:12" x14ac:dyDescent="0.25">
      <c r="A35" s="3">
        <v>2063</v>
      </c>
      <c r="B35" s="8">
        <f t="shared" si="1"/>
        <v>52428571.428571418</v>
      </c>
      <c r="C35" s="8">
        <f t="shared" si="2"/>
        <v>146714285.71428576</v>
      </c>
      <c r="D35" s="8">
        <f t="shared" si="3"/>
        <v>241000000</v>
      </c>
      <c r="E35" s="11"/>
      <c r="F35" s="14"/>
      <c r="G35" s="14"/>
      <c r="H35" s="14"/>
      <c r="J35" s="11"/>
      <c r="K35" s="11"/>
      <c r="L35" s="11"/>
    </row>
    <row r="36" spans="1:12" x14ac:dyDescent="0.25">
      <c r="A36" s="3">
        <v>2064</v>
      </c>
      <c r="B36" s="8">
        <f t="shared" si="1"/>
        <v>53714285.714285702</v>
      </c>
      <c r="C36" s="8">
        <f t="shared" si="2"/>
        <v>150857142.8571429</v>
      </c>
      <c r="D36" s="8">
        <f t="shared" si="3"/>
        <v>248000000</v>
      </c>
      <c r="E36" s="11"/>
      <c r="F36" s="14"/>
      <c r="G36" s="14"/>
      <c r="H36" s="14"/>
      <c r="J36" s="11"/>
      <c r="K36" s="11"/>
      <c r="L36" s="11"/>
    </row>
    <row r="37" spans="1:12" x14ac:dyDescent="0.25">
      <c r="A37" s="3">
        <v>2065</v>
      </c>
      <c r="B37" s="8">
        <f t="shared" si="1"/>
        <v>54999999.999999985</v>
      </c>
      <c r="C37" s="8">
        <f t="shared" si="2"/>
        <v>155000000.00000003</v>
      </c>
      <c r="D37" s="8">
        <f t="shared" si="3"/>
        <v>255000000</v>
      </c>
      <c r="E37" s="11"/>
      <c r="F37" s="14"/>
      <c r="G37" s="14"/>
      <c r="H37" s="14"/>
      <c r="J37" s="11"/>
      <c r="K37" s="11"/>
      <c r="L37" s="11"/>
    </row>
    <row r="38" spans="1:12" x14ac:dyDescent="0.25">
      <c r="A38" s="3">
        <v>2066</v>
      </c>
      <c r="B38" s="8">
        <f t="shared" si="1"/>
        <v>56285714.285714269</v>
      </c>
      <c r="C38" s="8">
        <f t="shared" si="2"/>
        <v>159142857.14285716</v>
      </c>
      <c r="D38" s="8">
        <f t="shared" si="3"/>
        <v>262000000</v>
      </c>
      <c r="E38" s="11"/>
      <c r="F38" s="14"/>
      <c r="G38" s="14"/>
      <c r="H38" s="14"/>
      <c r="J38" s="11"/>
      <c r="K38" s="11"/>
      <c r="L38" s="11"/>
    </row>
    <row r="39" spans="1:12" x14ac:dyDescent="0.25">
      <c r="A39" s="3">
        <v>2067</v>
      </c>
      <c r="B39" s="8">
        <f t="shared" si="1"/>
        <v>57571428.571428552</v>
      </c>
      <c r="C39" s="8">
        <f t="shared" si="2"/>
        <v>163285714.2857143</v>
      </c>
      <c r="D39" s="8">
        <f t="shared" si="3"/>
        <v>269000000</v>
      </c>
      <c r="E39" s="11"/>
      <c r="F39" s="14"/>
      <c r="G39" s="14"/>
      <c r="H39" s="14"/>
      <c r="J39" s="11"/>
      <c r="K39" s="11"/>
      <c r="L39" s="11"/>
    </row>
    <row r="40" spans="1:12" x14ac:dyDescent="0.25">
      <c r="A40" s="3">
        <v>2068</v>
      </c>
      <c r="B40" s="8">
        <f t="shared" si="1"/>
        <v>58857142.857142836</v>
      </c>
      <c r="C40" s="8">
        <f t="shared" si="2"/>
        <v>167428571.42857143</v>
      </c>
      <c r="D40" s="8">
        <f t="shared" si="3"/>
        <v>276000000</v>
      </c>
      <c r="E40" s="11"/>
      <c r="F40" s="14"/>
      <c r="G40" s="14"/>
      <c r="H40" s="14"/>
      <c r="J40" s="11"/>
      <c r="K40" s="11"/>
      <c r="L40" s="11"/>
    </row>
    <row r="41" spans="1:12" x14ac:dyDescent="0.25">
      <c r="A41" s="3">
        <v>2069</v>
      </c>
      <c r="B41" s="8">
        <f t="shared" si="1"/>
        <v>60142857.142857119</v>
      </c>
      <c r="C41" s="8">
        <f t="shared" si="2"/>
        <v>171571428.57142857</v>
      </c>
      <c r="D41" s="8">
        <f t="shared" si="3"/>
        <v>283000000</v>
      </c>
      <c r="E41" s="11"/>
      <c r="F41" s="14"/>
      <c r="G41" s="14"/>
      <c r="H41" s="14"/>
      <c r="J41" s="11"/>
      <c r="K41" s="11"/>
      <c r="L41" s="11"/>
    </row>
    <row r="42" spans="1:12" x14ac:dyDescent="0.25">
      <c r="A42" s="3">
        <v>2070</v>
      </c>
      <c r="B42" s="8">
        <f t="shared" si="1"/>
        <v>61428571.428571403</v>
      </c>
      <c r="C42" s="8">
        <f t="shared" si="2"/>
        <v>175714285.7142857</v>
      </c>
      <c r="D42" s="8">
        <f t="shared" si="3"/>
        <v>290000000</v>
      </c>
      <c r="E42" s="11"/>
      <c r="F42" s="14"/>
      <c r="G42" s="14"/>
      <c r="H42" s="14"/>
      <c r="J42" s="11"/>
      <c r="K42" s="11"/>
      <c r="L42" s="11"/>
    </row>
    <row r="43" spans="1:12" x14ac:dyDescent="0.25">
      <c r="A43" s="3">
        <v>2071</v>
      </c>
      <c r="B43" s="8">
        <f t="shared" si="1"/>
        <v>62714285.714285687</v>
      </c>
      <c r="C43" s="8">
        <f t="shared" si="2"/>
        <v>179857142.85714284</v>
      </c>
      <c r="D43" s="8">
        <f t="shared" si="3"/>
        <v>297000000</v>
      </c>
      <c r="E43" s="11"/>
      <c r="F43" s="14"/>
      <c r="G43" s="14"/>
      <c r="H43" s="14"/>
      <c r="J43" s="11"/>
      <c r="K43" s="11"/>
      <c r="L43" s="11"/>
    </row>
    <row r="44" spans="1:12" x14ac:dyDescent="0.25">
      <c r="A44" s="3">
        <v>2072</v>
      </c>
      <c r="B44" s="8">
        <f t="shared" si="1"/>
        <v>63999999.99999997</v>
      </c>
      <c r="C44" s="8">
        <f t="shared" si="2"/>
        <v>183999999.99999997</v>
      </c>
      <c r="D44" s="8">
        <f t="shared" si="3"/>
        <v>304000000</v>
      </c>
      <c r="E44" s="11"/>
      <c r="F44" s="14"/>
      <c r="G44" s="14"/>
      <c r="H44" s="14"/>
      <c r="J44" s="11"/>
      <c r="K44" s="11"/>
      <c r="L44" s="11"/>
    </row>
    <row r="45" spans="1:12" x14ac:dyDescent="0.25">
      <c r="A45" s="3">
        <v>2073</v>
      </c>
      <c r="B45" s="8">
        <f t="shared" si="1"/>
        <v>65285714.285714254</v>
      </c>
      <c r="C45" s="8">
        <f t="shared" si="2"/>
        <v>188142857.1428571</v>
      </c>
      <c r="D45" s="8">
        <f t="shared" si="3"/>
        <v>311000000</v>
      </c>
      <c r="E45" s="11"/>
      <c r="F45" s="14"/>
      <c r="G45" s="14"/>
      <c r="H45" s="14"/>
      <c r="J45" s="11"/>
      <c r="K45" s="11"/>
      <c r="L45" s="11"/>
    </row>
    <row r="46" spans="1:12" x14ac:dyDescent="0.25">
      <c r="A46" s="3">
        <v>2074</v>
      </c>
      <c r="B46" s="8">
        <f t="shared" si="1"/>
        <v>66571428.571428537</v>
      </c>
      <c r="C46" s="8">
        <f t="shared" si="2"/>
        <v>192285714.28571424</v>
      </c>
      <c r="D46" s="8">
        <f t="shared" si="3"/>
        <v>318000000</v>
      </c>
      <c r="E46" s="11"/>
      <c r="F46" s="14"/>
      <c r="G46" s="14"/>
      <c r="H46" s="14"/>
      <c r="J46" s="11"/>
      <c r="K46" s="11"/>
      <c r="L46" s="11"/>
    </row>
    <row r="47" spans="1:12" x14ac:dyDescent="0.25">
      <c r="A47" s="3">
        <v>2075</v>
      </c>
      <c r="B47" s="8">
        <f t="shared" si="1"/>
        <v>67857142.857142821</v>
      </c>
      <c r="C47" s="8">
        <f t="shared" si="2"/>
        <v>196428571.42857137</v>
      </c>
      <c r="D47" s="8">
        <f t="shared" si="3"/>
        <v>325000000</v>
      </c>
      <c r="E47" s="11"/>
      <c r="F47" s="14"/>
      <c r="G47" s="14"/>
      <c r="H47" s="14"/>
      <c r="J47" s="11"/>
      <c r="K47" s="11"/>
      <c r="L47" s="11"/>
    </row>
    <row r="48" spans="1:12" x14ac:dyDescent="0.25">
      <c r="A48" s="3">
        <v>2076</v>
      </c>
      <c r="B48" s="8">
        <f t="shared" si="1"/>
        <v>69142857.142857105</v>
      </c>
      <c r="C48" s="8">
        <f t="shared" si="2"/>
        <v>200571428.57142851</v>
      </c>
      <c r="D48" s="8">
        <f t="shared" si="3"/>
        <v>332000000</v>
      </c>
      <c r="E48" s="11"/>
      <c r="F48" s="14"/>
      <c r="G48" s="14"/>
      <c r="H48" s="14"/>
      <c r="J48" s="11"/>
      <c r="K48" s="11"/>
      <c r="L48" s="11"/>
    </row>
    <row r="49" spans="1:12" x14ac:dyDescent="0.25">
      <c r="A49" s="3">
        <v>2077</v>
      </c>
      <c r="B49" s="8">
        <f t="shared" si="1"/>
        <v>70428571.428571388</v>
      </c>
      <c r="C49" s="8">
        <f t="shared" si="2"/>
        <v>204714285.71428564</v>
      </c>
      <c r="D49" s="8">
        <f t="shared" si="3"/>
        <v>339000000</v>
      </c>
      <c r="E49" s="11"/>
      <c r="F49" s="14"/>
      <c r="G49" s="14"/>
      <c r="H49" s="14"/>
      <c r="J49" s="11"/>
      <c r="K49" s="11"/>
      <c r="L49" s="11"/>
    </row>
    <row r="50" spans="1:12" x14ac:dyDescent="0.25">
      <c r="A50" s="3">
        <v>2078</v>
      </c>
      <c r="B50" s="8">
        <f t="shared" si="1"/>
        <v>71714285.714285672</v>
      </c>
      <c r="C50" s="8">
        <f t="shared" si="2"/>
        <v>208857142.85714278</v>
      </c>
      <c r="D50" s="8">
        <f t="shared" si="3"/>
        <v>346000000</v>
      </c>
      <c r="E50" s="11"/>
      <c r="F50" s="14"/>
      <c r="G50" s="14"/>
      <c r="H50" s="14"/>
      <c r="J50" s="11"/>
      <c r="K50" s="11"/>
      <c r="L50" s="11"/>
    </row>
    <row r="51" spans="1:12" x14ac:dyDescent="0.25">
      <c r="A51" s="3">
        <v>2079</v>
      </c>
      <c r="B51" s="8">
        <f t="shared" si="1"/>
        <v>72999999.999999955</v>
      </c>
      <c r="C51" s="8">
        <f t="shared" si="2"/>
        <v>212999999.99999991</v>
      </c>
      <c r="D51" s="8">
        <f t="shared" si="3"/>
        <v>353000000</v>
      </c>
      <c r="E51" s="11"/>
      <c r="F51" s="14"/>
      <c r="G51" s="14"/>
      <c r="H51" s="14"/>
      <c r="J51" s="11"/>
      <c r="K51" s="11"/>
      <c r="L51" s="11"/>
    </row>
    <row r="52" spans="1:12" x14ac:dyDescent="0.25">
      <c r="A52" s="3">
        <v>2080</v>
      </c>
      <c r="B52" s="8">
        <f t="shared" si="1"/>
        <v>74285714.285714239</v>
      </c>
      <c r="C52" s="8">
        <f t="shared" si="2"/>
        <v>217142857.14285704</v>
      </c>
      <c r="D52" s="8">
        <f t="shared" si="3"/>
        <v>360000000</v>
      </c>
      <c r="E52" s="11"/>
      <c r="F52" s="14"/>
      <c r="G52" s="14"/>
      <c r="H52" s="14"/>
      <c r="J52" s="11"/>
      <c r="K52" s="11"/>
      <c r="L52" s="11"/>
    </row>
    <row r="53" spans="1:12" x14ac:dyDescent="0.25">
      <c r="A53" s="3">
        <v>2081</v>
      </c>
      <c r="B53" s="8">
        <f t="shared" si="1"/>
        <v>75571428.571428522</v>
      </c>
      <c r="C53" s="8">
        <f t="shared" si="2"/>
        <v>221285714.28571418</v>
      </c>
      <c r="D53" s="8">
        <f t="shared" si="3"/>
        <v>367000000</v>
      </c>
      <c r="E53" s="11"/>
      <c r="F53" s="14"/>
      <c r="G53" s="14"/>
      <c r="H53" s="14"/>
      <c r="J53" s="11"/>
      <c r="K53" s="11"/>
      <c r="L53" s="11"/>
    </row>
    <row r="54" spans="1:12" x14ac:dyDescent="0.25">
      <c r="A54" s="3">
        <v>2082</v>
      </c>
      <c r="B54" s="8">
        <f t="shared" si="1"/>
        <v>76857142.857142806</v>
      </c>
      <c r="C54" s="8">
        <f t="shared" si="2"/>
        <v>225428571.42857131</v>
      </c>
      <c r="D54" s="8">
        <f t="shared" si="3"/>
        <v>374000000</v>
      </c>
      <c r="E54" s="11"/>
      <c r="F54" s="14"/>
      <c r="G54" s="14"/>
      <c r="H54" s="14"/>
      <c r="J54" s="11"/>
      <c r="K54" s="11"/>
      <c r="L54" s="11"/>
    </row>
    <row r="55" spans="1:12" x14ac:dyDescent="0.25">
      <c r="A55" s="3">
        <v>2083</v>
      </c>
      <c r="B55" s="8">
        <f t="shared" si="1"/>
        <v>78142857.14285709</v>
      </c>
      <c r="C55" s="8">
        <f t="shared" si="2"/>
        <v>229571428.57142845</v>
      </c>
      <c r="D55" s="8">
        <f t="shared" si="3"/>
        <v>381000000</v>
      </c>
      <c r="E55" s="11"/>
      <c r="F55" s="14"/>
      <c r="G55" s="14"/>
      <c r="H55" s="14"/>
      <c r="J55" s="11"/>
      <c r="K55" s="11"/>
      <c r="L55" s="11"/>
    </row>
    <row r="56" spans="1:12" x14ac:dyDescent="0.25">
      <c r="A56" s="3">
        <v>2084</v>
      </c>
      <c r="B56" s="8">
        <f t="shared" si="1"/>
        <v>79428571.428571373</v>
      </c>
      <c r="C56" s="8">
        <f t="shared" si="2"/>
        <v>233714285.71428558</v>
      </c>
      <c r="D56" s="8">
        <f t="shared" si="3"/>
        <v>388000000</v>
      </c>
      <c r="E56" s="11"/>
      <c r="F56" s="14"/>
      <c r="G56" s="14"/>
      <c r="H56" s="14"/>
      <c r="J56" s="11"/>
      <c r="K56" s="11"/>
      <c r="L56" s="11"/>
    </row>
    <row r="57" spans="1:12" x14ac:dyDescent="0.25">
      <c r="A57" s="3">
        <v>2085</v>
      </c>
      <c r="B57" s="8">
        <f t="shared" si="1"/>
        <v>80714285.714285657</v>
      </c>
      <c r="C57" s="8">
        <f t="shared" si="2"/>
        <v>237857142.85714272</v>
      </c>
      <c r="D57" s="8">
        <f t="shared" si="3"/>
        <v>395000000</v>
      </c>
      <c r="E57" s="11"/>
      <c r="F57" s="14"/>
      <c r="G57" s="14"/>
      <c r="H57" s="14"/>
      <c r="J57" s="11"/>
      <c r="K57" s="11"/>
      <c r="L57" s="11"/>
    </row>
    <row r="58" spans="1:12" x14ac:dyDescent="0.25">
      <c r="A58" s="3">
        <v>2086</v>
      </c>
      <c r="B58" s="8">
        <f t="shared" si="1"/>
        <v>81999999.99999994</v>
      </c>
      <c r="C58" s="8">
        <f t="shared" si="2"/>
        <v>241999999.99999985</v>
      </c>
      <c r="D58" s="8">
        <f t="shared" si="3"/>
        <v>402000000</v>
      </c>
      <c r="E58" s="11"/>
      <c r="F58" s="14"/>
      <c r="G58" s="14"/>
      <c r="H58" s="14"/>
      <c r="J58" s="11"/>
      <c r="K58" s="11"/>
      <c r="L58" s="11"/>
    </row>
    <row r="59" spans="1:12" x14ac:dyDescent="0.25">
      <c r="A59" s="3">
        <v>2087</v>
      </c>
      <c r="B59" s="8">
        <f t="shared" si="1"/>
        <v>83285714.285714224</v>
      </c>
      <c r="C59" s="8">
        <f t="shared" si="2"/>
        <v>246142857.14285699</v>
      </c>
      <c r="D59" s="8">
        <f t="shared" si="3"/>
        <v>409000000</v>
      </c>
      <c r="E59" s="11"/>
      <c r="F59" s="14"/>
      <c r="G59" s="14"/>
      <c r="H59" s="14"/>
      <c r="J59" s="11"/>
      <c r="K59" s="11"/>
      <c r="L59" s="11"/>
    </row>
    <row r="60" spans="1:12" x14ac:dyDescent="0.25">
      <c r="A60" s="3">
        <v>2088</v>
      </c>
      <c r="B60" s="8">
        <f t="shared" si="1"/>
        <v>84571428.571428508</v>
      </c>
      <c r="C60" s="8">
        <f t="shared" si="2"/>
        <v>250285714.28571412</v>
      </c>
      <c r="D60" s="8">
        <f t="shared" si="3"/>
        <v>416000000</v>
      </c>
      <c r="E60" s="11"/>
      <c r="F60" s="14"/>
      <c r="G60" s="14"/>
      <c r="H60" s="14"/>
      <c r="J60" s="11"/>
      <c r="K60" s="11"/>
      <c r="L60" s="11"/>
    </row>
    <row r="61" spans="1:12" x14ac:dyDescent="0.25">
      <c r="A61" s="3">
        <v>2089</v>
      </c>
      <c r="B61" s="8">
        <f t="shared" si="1"/>
        <v>85857142.857142791</v>
      </c>
      <c r="C61" s="8">
        <f t="shared" si="2"/>
        <v>254428571.42857125</v>
      </c>
      <c r="D61" s="8">
        <f t="shared" si="3"/>
        <v>423000000</v>
      </c>
      <c r="E61" s="11"/>
      <c r="F61" s="14"/>
      <c r="G61" s="14"/>
      <c r="H61" s="14"/>
      <c r="J61" s="11"/>
      <c r="K61" s="11"/>
      <c r="L61" s="11"/>
    </row>
    <row r="62" spans="1:12" x14ac:dyDescent="0.25">
      <c r="A62" s="3">
        <v>2090</v>
      </c>
      <c r="B62" s="8">
        <f t="shared" si="1"/>
        <v>87142857.142857075</v>
      </c>
      <c r="C62" s="8">
        <f t="shared" si="2"/>
        <v>258571428.57142839</v>
      </c>
      <c r="D62" s="8">
        <f t="shared" si="3"/>
        <v>430000000</v>
      </c>
      <c r="E62" s="11"/>
      <c r="F62" s="14"/>
      <c r="G62" s="14"/>
      <c r="H62" s="14"/>
      <c r="J62" s="11"/>
      <c r="K62" s="11"/>
      <c r="L62" s="11"/>
    </row>
    <row r="63" spans="1:12" x14ac:dyDescent="0.25">
      <c r="A63" s="3">
        <v>2091</v>
      </c>
      <c r="B63" s="8">
        <f t="shared" si="1"/>
        <v>88428571.428571358</v>
      </c>
      <c r="C63" s="8">
        <f t="shared" si="2"/>
        <v>262714285.71428552</v>
      </c>
      <c r="D63" s="8">
        <f t="shared" si="3"/>
        <v>437000000</v>
      </c>
      <c r="E63" s="11"/>
      <c r="F63" s="14"/>
      <c r="G63" s="14"/>
      <c r="H63" s="14"/>
      <c r="J63" s="11"/>
      <c r="K63" s="11"/>
      <c r="L63" s="11"/>
    </row>
    <row r="64" spans="1:12" x14ac:dyDescent="0.25">
      <c r="A64" s="3">
        <v>2092</v>
      </c>
      <c r="B64" s="8">
        <f t="shared" si="1"/>
        <v>89714285.714285642</v>
      </c>
      <c r="C64" s="8">
        <f t="shared" si="2"/>
        <v>266857142.85714266</v>
      </c>
      <c r="D64" s="8">
        <f t="shared" si="3"/>
        <v>444000000</v>
      </c>
      <c r="E64" s="11"/>
      <c r="F64" s="14"/>
      <c r="G64" s="14"/>
      <c r="H64" s="14"/>
      <c r="J64" s="11"/>
      <c r="K64" s="11"/>
      <c r="L64" s="11"/>
    </row>
    <row r="65" spans="1:12" x14ac:dyDescent="0.25">
      <c r="A65" s="3">
        <v>2093</v>
      </c>
      <c r="B65" s="8">
        <f t="shared" si="1"/>
        <v>90999999.999999925</v>
      </c>
      <c r="C65" s="8">
        <f t="shared" si="2"/>
        <v>270999999.99999982</v>
      </c>
      <c r="D65" s="8">
        <f t="shared" si="3"/>
        <v>451000000</v>
      </c>
      <c r="E65" s="11"/>
      <c r="F65" s="14"/>
      <c r="G65" s="14"/>
      <c r="H65" s="14"/>
      <c r="J65" s="11"/>
      <c r="K65" s="11"/>
      <c r="L65" s="11"/>
    </row>
    <row r="66" spans="1:12" x14ac:dyDescent="0.25">
      <c r="A66" s="3">
        <v>2094</v>
      </c>
      <c r="B66" s="8">
        <f t="shared" si="1"/>
        <v>92285714.285714209</v>
      </c>
      <c r="C66" s="8">
        <f t="shared" si="2"/>
        <v>275142857.14285696</v>
      </c>
      <c r="D66" s="8">
        <f t="shared" si="3"/>
        <v>458000000</v>
      </c>
      <c r="E66" s="11"/>
      <c r="F66" s="14"/>
      <c r="G66" s="14"/>
      <c r="H66" s="14"/>
      <c r="J66" s="11"/>
      <c r="K66" s="11"/>
      <c r="L66" s="11"/>
    </row>
    <row r="67" spans="1:12" x14ac:dyDescent="0.25">
      <c r="A67" s="3">
        <v>2095</v>
      </c>
      <c r="B67" s="8">
        <f t="shared" si="1"/>
        <v>93571428.571428493</v>
      </c>
      <c r="C67" s="8">
        <f t="shared" si="2"/>
        <v>279285714.28571409</v>
      </c>
      <c r="D67" s="8">
        <f t="shared" si="3"/>
        <v>465000000</v>
      </c>
      <c r="E67" s="11"/>
      <c r="F67" s="14"/>
      <c r="G67" s="14"/>
      <c r="H67" s="14"/>
      <c r="J67" s="11"/>
      <c r="K67" s="11"/>
      <c r="L67" s="11"/>
    </row>
    <row r="68" spans="1:12" x14ac:dyDescent="0.25">
      <c r="A68" s="3">
        <v>2096</v>
      </c>
      <c r="B68" s="8">
        <f t="shared" ref="B68:B71" si="4">B67+((B$72-B$2)/70)</f>
        <v>94857142.857142776</v>
      </c>
      <c r="C68" s="8">
        <f t="shared" ref="C68:C71" si="5">C67+((C$72-C$2)/70)</f>
        <v>283428571.42857122</v>
      </c>
      <c r="D68" s="8">
        <f t="shared" ref="D68:D71" si="6">D67+((D$72-D$2)/70)</f>
        <v>472000000</v>
      </c>
      <c r="E68" s="11"/>
      <c r="F68" s="14"/>
      <c r="G68" s="14"/>
      <c r="H68" s="14"/>
      <c r="J68" s="11"/>
      <c r="K68" s="11"/>
      <c r="L68" s="11"/>
    </row>
    <row r="69" spans="1:12" x14ac:dyDescent="0.25">
      <c r="A69" s="3">
        <v>2097</v>
      </c>
      <c r="B69" s="8">
        <f t="shared" si="4"/>
        <v>96142857.14285706</v>
      </c>
      <c r="C69" s="8">
        <f t="shared" si="5"/>
        <v>287571428.57142836</v>
      </c>
      <c r="D69" s="8">
        <f t="shared" si="6"/>
        <v>479000000</v>
      </c>
      <c r="E69" s="11"/>
      <c r="F69" s="14"/>
      <c r="G69" s="14"/>
      <c r="H69" s="14"/>
      <c r="J69" s="11"/>
      <c r="K69" s="11"/>
      <c r="L69" s="11"/>
    </row>
    <row r="70" spans="1:12" x14ac:dyDescent="0.25">
      <c r="A70" s="3">
        <v>2098</v>
      </c>
      <c r="B70" s="8">
        <f t="shared" si="4"/>
        <v>97428571.428571343</v>
      </c>
      <c r="C70" s="8">
        <f t="shared" si="5"/>
        <v>291714285.71428549</v>
      </c>
      <c r="D70" s="8">
        <f t="shared" si="6"/>
        <v>486000000</v>
      </c>
      <c r="E70" s="11"/>
      <c r="F70" s="14"/>
      <c r="G70" s="14"/>
      <c r="H70" s="14"/>
      <c r="J70" s="11"/>
      <c r="K70" s="11"/>
      <c r="L70" s="11"/>
    </row>
    <row r="71" spans="1:12" x14ac:dyDescent="0.25">
      <c r="A71" s="3">
        <v>2099</v>
      </c>
      <c r="B71" s="8">
        <f t="shared" si="4"/>
        <v>98714285.714285627</v>
      </c>
      <c r="C71" s="8">
        <f t="shared" si="5"/>
        <v>295857142.85714263</v>
      </c>
      <c r="D71" s="8">
        <f t="shared" si="6"/>
        <v>493000000</v>
      </c>
      <c r="E71" s="11"/>
      <c r="F71" s="14"/>
      <c r="G71" s="14"/>
      <c r="H71" s="14"/>
      <c r="J71" s="11"/>
      <c r="K71" s="11"/>
      <c r="L71" s="11"/>
    </row>
    <row r="72" spans="1:12" x14ac:dyDescent="0.25">
      <c r="A72" s="3">
        <v>2100</v>
      </c>
      <c r="B72" s="8">
        <v>100000000</v>
      </c>
      <c r="C72" s="8">
        <v>300000000</v>
      </c>
      <c r="D72" s="8">
        <v>500000000</v>
      </c>
      <c r="E72" s="11"/>
      <c r="F72" s="14"/>
      <c r="G72" s="14"/>
      <c r="H72" s="14"/>
      <c r="I72" s="14"/>
      <c r="J72" s="11"/>
      <c r="K72" s="11"/>
      <c r="L72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2"/>
  <sheetViews>
    <sheetView topLeftCell="A5" workbookViewId="0">
      <selection activeCell="G24" sqref="G24"/>
    </sheetView>
  </sheetViews>
  <sheetFormatPr defaultRowHeight="15" x14ac:dyDescent="0.25"/>
  <cols>
    <col min="1" max="1" width="10.140625" customWidth="1"/>
    <col min="2" max="2" width="19" customWidth="1"/>
    <col min="3" max="3" width="24" customWidth="1"/>
    <col min="4" max="4" width="16.42578125" customWidth="1"/>
  </cols>
  <sheetData>
    <row r="1" spans="1:4" x14ac:dyDescent="0.25">
      <c r="A1" s="2" t="s">
        <v>0</v>
      </c>
      <c r="B1" s="2" t="s">
        <v>16</v>
      </c>
      <c r="C1" s="2" t="s">
        <v>17</v>
      </c>
      <c r="D1" s="2" t="s">
        <v>18</v>
      </c>
    </row>
    <row r="2" spans="1:4" x14ac:dyDescent="0.25">
      <c r="A2" s="3">
        <v>2030</v>
      </c>
      <c r="B2" s="8">
        <v>5000000</v>
      </c>
      <c r="C2" s="8">
        <v>10000000</v>
      </c>
      <c r="D2" s="8">
        <v>15000000</v>
      </c>
    </row>
    <row r="3" spans="1:4" x14ac:dyDescent="0.25">
      <c r="A3" s="3">
        <v>2031</v>
      </c>
      <c r="B3" s="8">
        <f>B2+((B$72-B$2)/70)</f>
        <v>6071428.5714285709</v>
      </c>
      <c r="C3" s="8">
        <f t="shared" ref="C3:D3" si="0">C2+((C$72-C$2)/70)</f>
        <v>13428571.428571429</v>
      </c>
      <c r="D3" s="8">
        <f t="shared" si="0"/>
        <v>20500000</v>
      </c>
    </row>
    <row r="4" spans="1:4" x14ac:dyDescent="0.25">
      <c r="A4" s="3">
        <v>2032</v>
      </c>
      <c r="B4" s="8">
        <f t="shared" ref="B4:B67" si="1">B3+((B$72-B$2)/70)</f>
        <v>7142857.1428571418</v>
      </c>
      <c r="C4" s="8">
        <f t="shared" ref="C4:C67" si="2">C3+((C$72-C$2)/70)</f>
        <v>16857142.857142858</v>
      </c>
      <c r="D4" s="8">
        <f t="shared" ref="D4:D67" si="3">D3+((D$72-D$2)/70)</f>
        <v>26000000</v>
      </c>
    </row>
    <row r="5" spans="1:4" x14ac:dyDescent="0.25">
      <c r="A5" s="3">
        <v>2033</v>
      </c>
      <c r="B5" s="8">
        <f t="shared" si="1"/>
        <v>8214285.7142857127</v>
      </c>
      <c r="C5" s="8">
        <f t="shared" si="2"/>
        <v>20285714.285714287</v>
      </c>
      <c r="D5" s="8">
        <f t="shared" si="3"/>
        <v>31500000</v>
      </c>
    </row>
    <row r="6" spans="1:4" x14ac:dyDescent="0.25">
      <c r="A6" s="3">
        <v>2034</v>
      </c>
      <c r="B6" s="8">
        <f t="shared" si="1"/>
        <v>9285714.2857142836</v>
      </c>
      <c r="C6" s="8">
        <f t="shared" si="2"/>
        <v>23714285.714285716</v>
      </c>
      <c r="D6" s="8">
        <f t="shared" si="3"/>
        <v>37000000</v>
      </c>
    </row>
    <row r="7" spans="1:4" x14ac:dyDescent="0.25">
      <c r="A7" s="3">
        <v>2035</v>
      </c>
      <c r="B7" s="8">
        <f t="shared" si="1"/>
        <v>10357142.857142854</v>
      </c>
      <c r="C7" s="8">
        <f t="shared" si="2"/>
        <v>27142857.142857146</v>
      </c>
      <c r="D7" s="8">
        <f t="shared" si="3"/>
        <v>42500000</v>
      </c>
    </row>
    <row r="8" spans="1:4" x14ac:dyDescent="0.25">
      <c r="A8" s="3">
        <v>2036</v>
      </c>
      <c r="B8" s="8">
        <f t="shared" si="1"/>
        <v>11428571.428571425</v>
      </c>
      <c r="C8" s="8">
        <f t="shared" si="2"/>
        <v>30571428.571428575</v>
      </c>
      <c r="D8" s="8">
        <f t="shared" si="3"/>
        <v>48000000</v>
      </c>
    </row>
    <row r="9" spans="1:4" x14ac:dyDescent="0.25">
      <c r="A9" s="3">
        <v>2037</v>
      </c>
      <c r="B9" s="8">
        <f t="shared" si="1"/>
        <v>12499999.999999996</v>
      </c>
      <c r="C9" s="8">
        <f t="shared" si="2"/>
        <v>34000000</v>
      </c>
      <c r="D9" s="8">
        <f t="shared" si="3"/>
        <v>53500000</v>
      </c>
    </row>
    <row r="10" spans="1:4" x14ac:dyDescent="0.25">
      <c r="A10" s="3">
        <v>2038</v>
      </c>
      <c r="B10" s="8">
        <f t="shared" si="1"/>
        <v>13571428.571428567</v>
      </c>
      <c r="C10" s="8">
        <f t="shared" si="2"/>
        <v>37428571.428571425</v>
      </c>
      <c r="D10" s="8">
        <f t="shared" si="3"/>
        <v>59000000</v>
      </c>
    </row>
    <row r="11" spans="1:4" x14ac:dyDescent="0.25">
      <c r="A11" s="3">
        <v>2039</v>
      </c>
      <c r="B11" s="8">
        <f t="shared" si="1"/>
        <v>14642857.142857138</v>
      </c>
      <c r="C11" s="8">
        <f t="shared" si="2"/>
        <v>40857142.857142851</v>
      </c>
      <c r="D11" s="8">
        <f t="shared" si="3"/>
        <v>64500000</v>
      </c>
    </row>
    <row r="12" spans="1:4" x14ac:dyDescent="0.25">
      <c r="A12" s="3">
        <v>2040</v>
      </c>
      <c r="B12" s="8">
        <f t="shared" si="1"/>
        <v>15714285.714285709</v>
      </c>
      <c r="C12" s="8">
        <f t="shared" si="2"/>
        <v>44285714.285714276</v>
      </c>
      <c r="D12" s="8">
        <f t="shared" si="3"/>
        <v>70000000</v>
      </c>
    </row>
    <row r="13" spans="1:4" x14ac:dyDescent="0.25">
      <c r="A13" s="3">
        <v>2041</v>
      </c>
      <c r="B13" s="8">
        <f t="shared" si="1"/>
        <v>16785714.28571428</v>
      </c>
      <c r="C13" s="8">
        <f t="shared" si="2"/>
        <v>47714285.714285702</v>
      </c>
      <c r="D13" s="8">
        <f t="shared" si="3"/>
        <v>75500000</v>
      </c>
    </row>
    <row r="14" spans="1:4" x14ac:dyDescent="0.25">
      <c r="A14" s="3">
        <v>2042</v>
      </c>
      <c r="B14" s="8">
        <f t="shared" si="1"/>
        <v>17857142.857142851</v>
      </c>
      <c r="C14" s="8">
        <f t="shared" si="2"/>
        <v>51142857.142857127</v>
      </c>
      <c r="D14" s="8">
        <f t="shared" si="3"/>
        <v>81000000</v>
      </c>
    </row>
    <row r="15" spans="1:4" x14ac:dyDescent="0.25">
      <c r="A15" s="3">
        <v>2043</v>
      </c>
      <c r="B15" s="8">
        <f t="shared" si="1"/>
        <v>18928571.428571422</v>
      </c>
      <c r="C15" s="8">
        <f t="shared" si="2"/>
        <v>54571428.571428552</v>
      </c>
      <c r="D15" s="8">
        <f t="shared" si="3"/>
        <v>86500000</v>
      </c>
    </row>
    <row r="16" spans="1:4" x14ac:dyDescent="0.25">
      <c r="A16" s="3">
        <v>2044</v>
      </c>
      <c r="B16" s="8">
        <f t="shared" si="1"/>
        <v>19999999.999999993</v>
      </c>
      <c r="C16" s="8">
        <f t="shared" si="2"/>
        <v>57999999.999999978</v>
      </c>
      <c r="D16" s="8">
        <f t="shared" si="3"/>
        <v>92000000</v>
      </c>
    </row>
    <row r="17" spans="1:4" x14ac:dyDescent="0.25">
      <c r="A17" s="3">
        <v>2045</v>
      </c>
      <c r="B17" s="8">
        <f t="shared" si="1"/>
        <v>21071428.571428563</v>
      </c>
      <c r="C17" s="8">
        <f t="shared" si="2"/>
        <v>61428571.428571403</v>
      </c>
      <c r="D17" s="8">
        <f t="shared" si="3"/>
        <v>97500000</v>
      </c>
    </row>
    <row r="18" spans="1:4" x14ac:dyDescent="0.25">
      <c r="A18" s="3">
        <v>2046</v>
      </c>
      <c r="B18" s="8">
        <f t="shared" si="1"/>
        <v>22142857.142857134</v>
      </c>
      <c r="C18" s="8">
        <f t="shared" si="2"/>
        <v>64857142.857142828</v>
      </c>
      <c r="D18" s="8">
        <f t="shared" si="3"/>
        <v>103000000</v>
      </c>
    </row>
    <row r="19" spans="1:4" x14ac:dyDescent="0.25">
      <c r="A19" s="3">
        <v>2047</v>
      </c>
      <c r="B19" s="8">
        <f t="shared" si="1"/>
        <v>23214285.714285705</v>
      </c>
      <c r="C19" s="8">
        <f t="shared" si="2"/>
        <v>68285714.285714254</v>
      </c>
      <c r="D19" s="8">
        <f t="shared" si="3"/>
        <v>108500000</v>
      </c>
    </row>
    <row r="20" spans="1:4" x14ac:dyDescent="0.25">
      <c r="A20" s="3">
        <v>2048</v>
      </c>
      <c r="B20" s="8">
        <f t="shared" si="1"/>
        <v>24285714.285714276</v>
      </c>
      <c r="C20" s="8">
        <f t="shared" si="2"/>
        <v>71714285.714285687</v>
      </c>
      <c r="D20" s="8">
        <f t="shared" si="3"/>
        <v>114000000</v>
      </c>
    </row>
    <row r="21" spans="1:4" x14ac:dyDescent="0.25">
      <c r="A21" s="3">
        <v>2049</v>
      </c>
      <c r="B21" s="8">
        <f t="shared" si="1"/>
        <v>25357142.857142847</v>
      </c>
      <c r="C21" s="8">
        <f t="shared" si="2"/>
        <v>75142857.142857119</v>
      </c>
      <c r="D21" s="8">
        <f t="shared" si="3"/>
        <v>119500000</v>
      </c>
    </row>
    <row r="22" spans="1:4" x14ac:dyDescent="0.25">
      <c r="A22" s="3">
        <v>2050</v>
      </c>
      <c r="B22" s="8">
        <f t="shared" si="1"/>
        <v>26428571.428571418</v>
      </c>
      <c r="C22" s="8">
        <f t="shared" si="2"/>
        <v>78571428.571428552</v>
      </c>
      <c r="D22" s="8">
        <f t="shared" si="3"/>
        <v>125000000</v>
      </c>
    </row>
    <row r="23" spans="1:4" x14ac:dyDescent="0.25">
      <c r="A23" s="3">
        <v>2051</v>
      </c>
      <c r="B23" s="8">
        <f t="shared" si="1"/>
        <v>27499999.999999989</v>
      </c>
      <c r="C23" s="8">
        <f t="shared" si="2"/>
        <v>81999999.999999985</v>
      </c>
      <c r="D23" s="8">
        <f t="shared" si="3"/>
        <v>130500000</v>
      </c>
    </row>
    <row r="24" spans="1:4" x14ac:dyDescent="0.25">
      <c r="A24" s="3">
        <v>2052</v>
      </c>
      <c r="B24" s="8">
        <f t="shared" si="1"/>
        <v>28571428.57142856</v>
      </c>
      <c r="C24" s="8">
        <f t="shared" si="2"/>
        <v>85428571.428571418</v>
      </c>
      <c r="D24" s="8">
        <f t="shared" si="3"/>
        <v>136000000</v>
      </c>
    </row>
    <row r="25" spans="1:4" x14ac:dyDescent="0.25">
      <c r="A25" s="3">
        <v>2053</v>
      </c>
      <c r="B25" s="8">
        <f t="shared" si="1"/>
        <v>29642857.142857131</v>
      </c>
      <c r="C25" s="8">
        <f t="shared" si="2"/>
        <v>88857142.857142851</v>
      </c>
      <c r="D25" s="8">
        <f t="shared" si="3"/>
        <v>141500000</v>
      </c>
    </row>
    <row r="26" spans="1:4" x14ac:dyDescent="0.25">
      <c r="A26" s="3">
        <v>2054</v>
      </c>
      <c r="B26" s="8">
        <f t="shared" si="1"/>
        <v>30714285.714285702</v>
      </c>
      <c r="C26" s="8">
        <f t="shared" si="2"/>
        <v>92285714.285714284</v>
      </c>
      <c r="D26" s="8">
        <f t="shared" si="3"/>
        <v>147000000</v>
      </c>
    </row>
    <row r="27" spans="1:4" x14ac:dyDescent="0.25">
      <c r="A27" s="3">
        <v>2055</v>
      </c>
      <c r="B27" s="8">
        <f t="shared" si="1"/>
        <v>31785714.285714272</v>
      </c>
      <c r="C27" s="8">
        <f t="shared" si="2"/>
        <v>95714285.714285716</v>
      </c>
      <c r="D27" s="8">
        <f t="shared" si="3"/>
        <v>152500000</v>
      </c>
    </row>
    <row r="28" spans="1:4" x14ac:dyDescent="0.25">
      <c r="A28" s="3">
        <v>2056</v>
      </c>
      <c r="B28" s="8">
        <f t="shared" si="1"/>
        <v>32857142.857142843</v>
      </c>
      <c r="C28" s="8">
        <f t="shared" si="2"/>
        <v>99142857.142857149</v>
      </c>
      <c r="D28" s="8">
        <f t="shared" si="3"/>
        <v>158000000</v>
      </c>
    </row>
    <row r="29" spans="1:4" x14ac:dyDescent="0.25">
      <c r="A29" s="3">
        <v>2057</v>
      </c>
      <c r="B29" s="8">
        <f t="shared" si="1"/>
        <v>33928571.428571418</v>
      </c>
      <c r="C29" s="8">
        <f t="shared" si="2"/>
        <v>102571428.57142858</v>
      </c>
      <c r="D29" s="8">
        <f t="shared" si="3"/>
        <v>163500000</v>
      </c>
    </row>
    <row r="30" spans="1:4" x14ac:dyDescent="0.25">
      <c r="A30" s="3">
        <v>2058</v>
      </c>
      <c r="B30" s="8">
        <f t="shared" si="1"/>
        <v>34999999.999999993</v>
      </c>
      <c r="C30" s="8">
        <f t="shared" si="2"/>
        <v>106000000.00000001</v>
      </c>
      <c r="D30" s="8">
        <f t="shared" si="3"/>
        <v>169000000</v>
      </c>
    </row>
    <row r="31" spans="1:4" x14ac:dyDescent="0.25">
      <c r="A31" s="3">
        <v>2059</v>
      </c>
      <c r="B31" s="8">
        <f t="shared" si="1"/>
        <v>36071428.571428567</v>
      </c>
      <c r="C31" s="8">
        <f t="shared" si="2"/>
        <v>109428571.42857145</v>
      </c>
      <c r="D31" s="8">
        <f t="shared" si="3"/>
        <v>174500000</v>
      </c>
    </row>
    <row r="32" spans="1:4" x14ac:dyDescent="0.25">
      <c r="A32" s="3">
        <v>2060</v>
      </c>
      <c r="B32" s="8">
        <f t="shared" si="1"/>
        <v>37142857.142857142</v>
      </c>
      <c r="C32" s="8">
        <f t="shared" si="2"/>
        <v>112857142.85714288</v>
      </c>
      <c r="D32" s="8">
        <f t="shared" si="3"/>
        <v>180000000</v>
      </c>
    </row>
    <row r="33" spans="1:4" x14ac:dyDescent="0.25">
      <c r="A33" s="3">
        <v>2061</v>
      </c>
      <c r="B33" s="8">
        <f t="shared" si="1"/>
        <v>38214285.714285716</v>
      </c>
      <c r="C33" s="8">
        <f t="shared" si="2"/>
        <v>116285714.28571431</v>
      </c>
      <c r="D33" s="8">
        <f t="shared" si="3"/>
        <v>185500000</v>
      </c>
    </row>
    <row r="34" spans="1:4" x14ac:dyDescent="0.25">
      <c r="A34" s="3">
        <v>2062</v>
      </c>
      <c r="B34" s="8">
        <f t="shared" si="1"/>
        <v>39285714.285714291</v>
      </c>
      <c r="C34" s="8">
        <f t="shared" si="2"/>
        <v>119714285.71428575</v>
      </c>
      <c r="D34" s="8">
        <f t="shared" si="3"/>
        <v>191000000</v>
      </c>
    </row>
    <row r="35" spans="1:4" x14ac:dyDescent="0.25">
      <c r="A35" s="3">
        <v>2063</v>
      </c>
      <c r="B35" s="8">
        <f t="shared" si="1"/>
        <v>40357142.857142866</v>
      </c>
      <c r="C35" s="8">
        <f t="shared" si="2"/>
        <v>123142857.14285718</v>
      </c>
      <c r="D35" s="8">
        <f t="shared" si="3"/>
        <v>196500000</v>
      </c>
    </row>
    <row r="36" spans="1:4" x14ac:dyDescent="0.25">
      <c r="A36" s="3">
        <v>2064</v>
      </c>
      <c r="B36" s="8">
        <f t="shared" si="1"/>
        <v>41428571.42857144</v>
      </c>
      <c r="C36" s="8">
        <f t="shared" si="2"/>
        <v>126571428.57142861</v>
      </c>
      <c r="D36" s="8">
        <f t="shared" si="3"/>
        <v>202000000</v>
      </c>
    </row>
    <row r="37" spans="1:4" x14ac:dyDescent="0.25">
      <c r="A37" s="3">
        <v>2065</v>
      </c>
      <c r="B37" s="8">
        <f t="shared" si="1"/>
        <v>42500000.000000015</v>
      </c>
      <c r="C37" s="8">
        <f t="shared" si="2"/>
        <v>130000000.00000004</v>
      </c>
      <c r="D37" s="8">
        <f t="shared" si="3"/>
        <v>207500000</v>
      </c>
    </row>
    <row r="38" spans="1:4" x14ac:dyDescent="0.25">
      <c r="A38" s="3">
        <v>2066</v>
      </c>
      <c r="B38" s="8">
        <f t="shared" si="1"/>
        <v>43571428.57142859</v>
      </c>
      <c r="C38" s="8">
        <f t="shared" si="2"/>
        <v>133428571.42857148</v>
      </c>
      <c r="D38" s="8">
        <f t="shared" si="3"/>
        <v>213000000</v>
      </c>
    </row>
    <row r="39" spans="1:4" x14ac:dyDescent="0.25">
      <c r="A39" s="3">
        <v>2067</v>
      </c>
      <c r="B39" s="8">
        <f t="shared" si="1"/>
        <v>44642857.142857164</v>
      </c>
      <c r="C39" s="8">
        <f t="shared" si="2"/>
        <v>136857142.8571429</v>
      </c>
      <c r="D39" s="8">
        <f t="shared" si="3"/>
        <v>218500000</v>
      </c>
    </row>
    <row r="40" spans="1:4" x14ac:dyDescent="0.25">
      <c r="A40" s="3">
        <v>2068</v>
      </c>
      <c r="B40" s="8">
        <f t="shared" si="1"/>
        <v>45714285.714285739</v>
      </c>
      <c r="C40" s="8">
        <f t="shared" si="2"/>
        <v>140285714.28571433</v>
      </c>
      <c r="D40" s="8">
        <f t="shared" si="3"/>
        <v>224000000</v>
      </c>
    </row>
    <row r="41" spans="1:4" x14ac:dyDescent="0.25">
      <c r="A41" s="3">
        <v>2069</v>
      </c>
      <c r="B41" s="8">
        <f t="shared" si="1"/>
        <v>46785714.285714313</v>
      </c>
      <c r="C41" s="8">
        <f t="shared" si="2"/>
        <v>143714285.71428576</v>
      </c>
      <c r="D41" s="8">
        <f t="shared" si="3"/>
        <v>229500000</v>
      </c>
    </row>
    <row r="42" spans="1:4" x14ac:dyDescent="0.25">
      <c r="A42" s="3">
        <v>2070</v>
      </c>
      <c r="B42" s="8">
        <f t="shared" si="1"/>
        <v>47857142.857142888</v>
      </c>
      <c r="C42" s="8">
        <f t="shared" si="2"/>
        <v>147142857.14285719</v>
      </c>
      <c r="D42" s="8">
        <f t="shared" si="3"/>
        <v>235000000</v>
      </c>
    </row>
    <row r="43" spans="1:4" x14ac:dyDescent="0.25">
      <c r="A43" s="3">
        <v>2071</v>
      </c>
      <c r="B43" s="8">
        <f t="shared" si="1"/>
        <v>48928571.428571463</v>
      </c>
      <c r="C43" s="8">
        <f t="shared" si="2"/>
        <v>150571428.57142863</v>
      </c>
      <c r="D43" s="8">
        <f t="shared" si="3"/>
        <v>240500000</v>
      </c>
    </row>
    <row r="44" spans="1:4" x14ac:dyDescent="0.25">
      <c r="A44" s="3">
        <v>2072</v>
      </c>
      <c r="B44" s="8">
        <f t="shared" si="1"/>
        <v>50000000.000000037</v>
      </c>
      <c r="C44" s="8">
        <f t="shared" si="2"/>
        <v>154000000.00000006</v>
      </c>
      <c r="D44" s="8">
        <f t="shared" si="3"/>
        <v>246000000</v>
      </c>
    </row>
    <row r="45" spans="1:4" x14ac:dyDescent="0.25">
      <c r="A45" s="3">
        <v>2073</v>
      </c>
      <c r="B45" s="8">
        <f t="shared" si="1"/>
        <v>51071428.571428612</v>
      </c>
      <c r="C45" s="8">
        <f t="shared" si="2"/>
        <v>157428571.42857149</v>
      </c>
      <c r="D45" s="8">
        <f t="shared" si="3"/>
        <v>251500000</v>
      </c>
    </row>
    <row r="46" spans="1:4" x14ac:dyDescent="0.25">
      <c r="A46" s="3">
        <v>2074</v>
      </c>
      <c r="B46" s="8">
        <f t="shared" si="1"/>
        <v>52142857.142857186</v>
      </c>
      <c r="C46" s="8">
        <f t="shared" si="2"/>
        <v>160857142.85714293</v>
      </c>
      <c r="D46" s="8">
        <f t="shared" si="3"/>
        <v>257000000</v>
      </c>
    </row>
    <row r="47" spans="1:4" x14ac:dyDescent="0.25">
      <c r="A47" s="3">
        <v>2075</v>
      </c>
      <c r="B47" s="8">
        <f t="shared" si="1"/>
        <v>53214285.714285761</v>
      </c>
      <c r="C47" s="8">
        <f t="shared" si="2"/>
        <v>164285714.28571436</v>
      </c>
      <c r="D47" s="8">
        <f t="shared" si="3"/>
        <v>262500000</v>
      </c>
    </row>
    <row r="48" spans="1:4" x14ac:dyDescent="0.25">
      <c r="A48" s="3">
        <v>2076</v>
      </c>
      <c r="B48" s="8">
        <f t="shared" si="1"/>
        <v>54285714.285714336</v>
      </c>
      <c r="C48" s="8">
        <f t="shared" si="2"/>
        <v>167714285.71428579</v>
      </c>
      <c r="D48" s="8">
        <f t="shared" si="3"/>
        <v>268000000</v>
      </c>
    </row>
    <row r="49" spans="1:4" x14ac:dyDescent="0.25">
      <c r="A49" s="3">
        <v>2077</v>
      </c>
      <c r="B49" s="8">
        <f t="shared" si="1"/>
        <v>55357142.85714291</v>
      </c>
      <c r="C49" s="8">
        <f t="shared" si="2"/>
        <v>171142857.14285722</v>
      </c>
      <c r="D49" s="8">
        <f t="shared" si="3"/>
        <v>273500000</v>
      </c>
    </row>
    <row r="50" spans="1:4" x14ac:dyDescent="0.25">
      <c r="A50" s="3">
        <v>2078</v>
      </c>
      <c r="B50" s="8">
        <f t="shared" si="1"/>
        <v>56428571.428571485</v>
      </c>
      <c r="C50" s="8">
        <f t="shared" si="2"/>
        <v>174571428.57142866</v>
      </c>
      <c r="D50" s="8">
        <f t="shared" si="3"/>
        <v>279000000</v>
      </c>
    </row>
    <row r="51" spans="1:4" x14ac:dyDescent="0.25">
      <c r="A51" s="3">
        <v>2079</v>
      </c>
      <c r="B51" s="8">
        <f t="shared" si="1"/>
        <v>57500000.00000006</v>
      </c>
      <c r="C51" s="8">
        <f t="shared" si="2"/>
        <v>178000000.00000009</v>
      </c>
      <c r="D51" s="8">
        <f t="shared" si="3"/>
        <v>284500000</v>
      </c>
    </row>
    <row r="52" spans="1:4" x14ac:dyDescent="0.25">
      <c r="A52" s="3">
        <v>2080</v>
      </c>
      <c r="B52" s="8">
        <f t="shared" si="1"/>
        <v>58571428.571428634</v>
      </c>
      <c r="C52" s="8">
        <f t="shared" si="2"/>
        <v>181428571.42857152</v>
      </c>
      <c r="D52" s="8">
        <f t="shared" si="3"/>
        <v>290000000</v>
      </c>
    </row>
    <row r="53" spans="1:4" x14ac:dyDescent="0.25">
      <c r="A53" s="3">
        <v>2081</v>
      </c>
      <c r="B53" s="8">
        <f t="shared" si="1"/>
        <v>59642857.142857209</v>
      </c>
      <c r="C53" s="8">
        <f t="shared" si="2"/>
        <v>184857142.85714296</v>
      </c>
      <c r="D53" s="8">
        <f t="shared" si="3"/>
        <v>295500000</v>
      </c>
    </row>
    <row r="54" spans="1:4" x14ac:dyDescent="0.25">
      <c r="A54" s="3">
        <v>2082</v>
      </c>
      <c r="B54" s="8">
        <f t="shared" si="1"/>
        <v>60714285.714285783</v>
      </c>
      <c r="C54" s="8">
        <f t="shared" si="2"/>
        <v>188285714.28571439</v>
      </c>
      <c r="D54" s="8">
        <f t="shared" si="3"/>
        <v>301000000</v>
      </c>
    </row>
    <row r="55" spans="1:4" x14ac:dyDescent="0.25">
      <c r="A55" s="3">
        <v>2083</v>
      </c>
      <c r="B55" s="8">
        <f t="shared" si="1"/>
        <v>61785714.285714358</v>
      </c>
      <c r="C55" s="8">
        <f t="shared" si="2"/>
        <v>191714285.71428582</v>
      </c>
      <c r="D55" s="8">
        <f t="shared" si="3"/>
        <v>306500000</v>
      </c>
    </row>
    <row r="56" spans="1:4" x14ac:dyDescent="0.25">
      <c r="A56" s="3">
        <v>2084</v>
      </c>
      <c r="B56" s="8">
        <f t="shared" si="1"/>
        <v>62857142.857142933</v>
      </c>
      <c r="C56" s="8">
        <f t="shared" si="2"/>
        <v>195142857.14285725</v>
      </c>
      <c r="D56" s="8">
        <f t="shared" si="3"/>
        <v>312000000</v>
      </c>
    </row>
    <row r="57" spans="1:4" x14ac:dyDescent="0.25">
      <c r="A57" s="3">
        <v>2085</v>
      </c>
      <c r="B57" s="8">
        <f t="shared" si="1"/>
        <v>63928571.428571507</v>
      </c>
      <c r="C57" s="8">
        <f t="shared" si="2"/>
        <v>198571428.57142869</v>
      </c>
      <c r="D57" s="8">
        <f t="shared" si="3"/>
        <v>317500000</v>
      </c>
    </row>
    <row r="58" spans="1:4" x14ac:dyDescent="0.25">
      <c r="A58" s="3">
        <v>2086</v>
      </c>
      <c r="B58" s="8">
        <f t="shared" si="1"/>
        <v>65000000.000000082</v>
      </c>
      <c r="C58" s="8">
        <f t="shared" si="2"/>
        <v>202000000.00000012</v>
      </c>
      <c r="D58" s="8">
        <f t="shared" si="3"/>
        <v>323000000</v>
      </c>
    </row>
    <row r="59" spans="1:4" x14ac:dyDescent="0.25">
      <c r="A59" s="3">
        <v>2087</v>
      </c>
      <c r="B59" s="8">
        <f t="shared" si="1"/>
        <v>66071428.571428657</v>
      </c>
      <c r="C59" s="8">
        <f t="shared" si="2"/>
        <v>205428571.42857155</v>
      </c>
      <c r="D59" s="8">
        <f t="shared" si="3"/>
        <v>328500000</v>
      </c>
    </row>
    <row r="60" spans="1:4" x14ac:dyDescent="0.25">
      <c r="A60" s="3">
        <v>2088</v>
      </c>
      <c r="B60" s="8">
        <f t="shared" si="1"/>
        <v>67142857.142857224</v>
      </c>
      <c r="C60" s="8">
        <f t="shared" si="2"/>
        <v>208857142.85714298</v>
      </c>
      <c r="D60" s="8">
        <f t="shared" si="3"/>
        <v>334000000</v>
      </c>
    </row>
    <row r="61" spans="1:4" x14ac:dyDescent="0.25">
      <c r="A61" s="3">
        <v>2089</v>
      </c>
      <c r="B61" s="8">
        <f t="shared" si="1"/>
        <v>68214285.714285791</v>
      </c>
      <c r="C61" s="8">
        <f t="shared" si="2"/>
        <v>212285714.28571442</v>
      </c>
      <c r="D61" s="8">
        <f t="shared" si="3"/>
        <v>339500000</v>
      </c>
    </row>
    <row r="62" spans="1:4" x14ac:dyDescent="0.25">
      <c r="A62" s="3">
        <v>2090</v>
      </c>
      <c r="B62" s="8">
        <f t="shared" si="1"/>
        <v>69285714.285714358</v>
      </c>
      <c r="C62" s="8">
        <f t="shared" si="2"/>
        <v>215714285.71428585</v>
      </c>
      <c r="D62" s="8">
        <f t="shared" si="3"/>
        <v>345000000</v>
      </c>
    </row>
    <row r="63" spans="1:4" x14ac:dyDescent="0.25">
      <c r="A63" s="3">
        <v>2091</v>
      </c>
      <c r="B63" s="8">
        <f t="shared" si="1"/>
        <v>70357142.857142925</v>
      </c>
      <c r="C63" s="8">
        <f t="shared" si="2"/>
        <v>219142857.14285728</v>
      </c>
      <c r="D63" s="8">
        <f t="shared" si="3"/>
        <v>350500000</v>
      </c>
    </row>
    <row r="64" spans="1:4" x14ac:dyDescent="0.25">
      <c r="A64" s="3">
        <v>2092</v>
      </c>
      <c r="B64" s="8">
        <f t="shared" si="1"/>
        <v>71428571.428571492</v>
      </c>
      <c r="C64" s="8">
        <f t="shared" si="2"/>
        <v>222571428.57142872</v>
      </c>
      <c r="D64" s="8">
        <f t="shared" si="3"/>
        <v>356000000</v>
      </c>
    </row>
    <row r="65" spans="1:4" x14ac:dyDescent="0.25">
      <c r="A65" s="3">
        <v>2093</v>
      </c>
      <c r="B65" s="8">
        <f t="shared" si="1"/>
        <v>72500000.00000006</v>
      </c>
      <c r="C65" s="8">
        <f t="shared" si="2"/>
        <v>226000000.00000015</v>
      </c>
      <c r="D65" s="8">
        <f t="shared" si="3"/>
        <v>361500000</v>
      </c>
    </row>
    <row r="66" spans="1:4" x14ac:dyDescent="0.25">
      <c r="A66" s="3">
        <v>2094</v>
      </c>
      <c r="B66" s="8">
        <f t="shared" si="1"/>
        <v>73571428.571428627</v>
      </c>
      <c r="C66" s="8">
        <f t="shared" si="2"/>
        <v>229428571.42857158</v>
      </c>
      <c r="D66" s="8">
        <f t="shared" si="3"/>
        <v>367000000</v>
      </c>
    </row>
    <row r="67" spans="1:4" x14ac:dyDescent="0.25">
      <c r="A67" s="3">
        <v>2095</v>
      </c>
      <c r="B67" s="8">
        <f t="shared" si="1"/>
        <v>74642857.142857194</v>
      </c>
      <c r="C67" s="8">
        <f t="shared" si="2"/>
        <v>232857142.85714301</v>
      </c>
      <c r="D67" s="8">
        <f t="shared" si="3"/>
        <v>372500000</v>
      </c>
    </row>
    <row r="68" spans="1:4" x14ac:dyDescent="0.25">
      <c r="A68" s="3">
        <v>2096</v>
      </c>
      <c r="B68" s="8">
        <f t="shared" ref="B68:B71" si="4">B67+((B$72-B$2)/70)</f>
        <v>75714285.714285761</v>
      </c>
      <c r="C68" s="8">
        <f t="shared" ref="C68:C71" si="5">C67+((C$72-C$2)/70)</f>
        <v>236285714.28571445</v>
      </c>
      <c r="D68" s="8">
        <f t="shared" ref="D68:D71" si="6">D67+((D$72-D$2)/70)</f>
        <v>378000000</v>
      </c>
    </row>
    <row r="69" spans="1:4" x14ac:dyDescent="0.25">
      <c r="A69" s="3">
        <v>2097</v>
      </c>
      <c r="B69" s="8">
        <f t="shared" si="4"/>
        <v>76785714.285714328</v>
      </c>
      <c r="C69" s="8">
        <f t="shared" si="5"/>
        <v>239714285.71428588</v>
      </c>
      <c r="D69" s="8">
        <f t="shared" si="6"/>
        <v>383500000</v>
      </c>
    </row>
    <row r="70" spans="1:4" x14ac:dyDescent="0.25">
      <c r="A70" s="3">
        <v>2098</v>
      </c>
      <c r="B70" s="8">
        <f t="shared" si="4"/>
        <v>77857142.857142895</v>
      </c>
      <c r="C70" s="8">
        <f t="shared" si="5"/>
        <v>243142857.14285731</v>
      </c>
      <c r="D70" s="8">
        <f t="shared" si="6"/>
        <v>389000000</v>
      </c>
    </row>
    <row r="71" spans="1:4" x14ac:dyDescent="0.25">
      <c r="A71" s="3">
        <v>2099</v>
      </c>
      <c r="B71" s="8">
        <f t="shared" si="4"/>
        <v>78928571.428571463</v>
      </c>
      <c r="C71" s="8">
        <f t="shared" si="5"/>
        <v>246571428.57142875</v>
      </c>
      <c r="D71" s="8">
        <f t="shared" si="6"/>
        <v>394500000</v>
      </c>
    </row>
    <row r="72" spans="1:4" x14ac:dyDescent="0.25">
      <c r="A72" s="3">
        <v>2100</v>
      </c>
      <c r="B72" s="8">
        <v>80000000</v>
      </c>
      <c r="C72" s="8">
        <v>250000000</v>
      </c>
      <c r="D72" s="8">
        <v>400000000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zoomScale="73" zoomScaleNormal="90" workbookViewId="0">
      <pane xSplit="1" topLeftCell="B1" activePane="topRight" state="frozen"/>
      <selection pane="topRight" activeCell="N9" sqref="N9"/>
    </sheetView>
  </sheetViews>
  <sheetFormatPr defaultColWidth="9" defaultRowHeight="15" x14ac:dyDescent="0.25"/>
  <cols>
    <col min="1" max="1" width="6" style="1" bestFit="1" customWidth="1"/>
    <col min="2" max="2" width="17.7109375" style="1" customWidth="1"/>
    <col min="3" max="3" width="15" style="1" customWidth="1"/>
    <col min="4" max="4" width="17.42578125" style="1" customWidth="1"/>
    <col min="5" max="5" width="14" style="1" customWidth="1"/>
    <col min="6" max="6" width="15.140625" style="1" customWidth="1"/>
    <col min="7" max="8" width="10.85546875" style="1" bestFit="1" customWidth="1"/>
    <col min="9" max="9" width="16.85546875" style="1" customWidth="1"/>
    <col min="10" max="10" width="13" style="1" customWidth="1"/>
    <col min="11" max="11" width="10.85546875" style="1" bestFit="1" customWidth="1"/>
    <col min="12" max="12" width="14" style="1" customWidth="1"/>
    <col min="13" max="13" width="11.85546875" style="1" bestFit="1" customWidth="1"/>
    <col min="14" max="14" width="10.85546875" style="1" bestFit="1" customWidth="1"/>
    <col min="15" max="16" width="11.85546875" style="1" bestFit="1" customWidth="1"/>
    <col min="17" max="17" width="12.140625" style="1" bestFit="1" customWidth="1"/>
    <col min="18" max="18" width="12.42578125" style="1" bestFit="1" customWidth="1"/>
    <col min="19" max="19" width="12.140625" style="1" bestFit="1" customWidth="1"/>
    <col min="20" max="16384" width="9" style="1"/>
  </cols>
  <sheetData>
    <row r="1" spans="1:19" ht="49.5" customHeight="1" x14ac:dyDescent="0.25">
      <c r="A1" s="6" t="s">
        <v>0</v>
      </c>
      <c r="B1" s="17" t="s">
        <v>19</v>
      </c>
      <c r="C1" s="17" t="s">
        <v>20</v>
      </c>
      <c r="D1" s="17" t="s">
        <v>21</v>
      </c>
      <c r="E1" s="17" t="s">
        <v>1</v>
      </c>
      <c r="F1" s="17" t="s">
        <v>2</v>
      </c>
      <c r="G1" s="17" t="s">
        <v>3</v>
      </c>
      <c r="H1" s="17" t="s">
        <v>4</v>
      </c>
      <c r="I1" s="17" t="s">
        <v>5</v>
      </c>
      <c r="J1" s="17" t="s">
        <v>6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</row>
    <row r="2" spans="1:19" x14ac:dyDescent="0.25">
      <c r="A2" s="1">
        <v>2030</v>
      </c>
      <c r="B2" s="22">
        <f>B$22*'Rates (2)'!B2</f>
        <v>246.91358024691357</v>
      </c>
      <c r="C2" s="22">
        <f>C$22*'Rates (2)'!C2</f>
        <v>333.33333333333331</v>
      </c>
      <c r="D2" s="22">
        <f>D$22*'Rates (2)'!D2</f>
        <v>375</v>
      </c>
      <c r="E2" s="22">
        <f>E$22*'Rates (2)'!E2</f>
        <v>8.3333333333333339</v>
      </c>
      <c r="F2" s="22">
        <f>F$22*'Rates (2)'!F2</f>
        <v>36.184210526315795</v>
      </c>
      <c r="G2" s="22">
        <f>G$22*'Rates (2)'!G2</f>
        <v>54.34782608695653</v>
      </c>
      <c r="H2" s="22">
        <f>H$22*'Rates (2)'!H2</f>
        <v>135.13513513513513</v>
      </c>
      <c r="I2" s="22">
        <f>I$22*'Rates (2)'!I2</f>
        <v>188.27296793277824</v>
      </c>
      <c r="J2" s="22">
        <f>J$22*'Rates (2)'!J2</f>
        <v>235.29411764705884</v>
      </c>
      <c r="K2" s="22">
        <f>K$22*'Rates (2)'!K2</f>
        <v>62.5</v>
      </c>
      <c r="L2" s="22">
        <f>L$22*'Rates (2)'!L2</f>
        <v>132.27513227513231</v>
      </c>
      <c r="M2" s="22">
        <f>M$22*'Rates (2)'!M2</f>
        <v>213.903743315508</v>
      </c>
      <c r="N2" s="22">
        <f>N$22*'Rates (2)'!N2</f>
        <v>46.153846153846146</v>
      </c>
      <c r="O2" s="22">
        <f>O$22*'Rates (2)'!O2</f>
        <v>90.361445783132538</v>
      </c>
      <c r="P2" s="22">
        <f>P$22*'Rates (2)'!P2</f>
        <v>128.34224598930479</v>
      </c>
      <c r="Q2" s="7">
        <v>133</v>
      </c>
      <c r="R2" s="7">
        <v>256.5</v>
      </c>
      <c r="S2" s="7">
        <v>380</v>
      </c>
    </row>
    <row r="3" spans="1:19" x14ac:dyDescent="0.25">
      <c r="A3" s="3">
        <v>2031</v>
      </c>
      <c r="B3" s="22">
        <f>B$22*'Rates (2)'!B3</f>
        <v>237.03703703703701</v>
      </c>
      <c r="C3" s="22">
        <f>C$22*'Rates (2)'!C3</f>
        <v>316.66666666666663</v>
      </c>
      <c r="D3" s="22">
        <f>D$22*'Rates (2)'!D3</f>
        <v>356.24999999999994</v>
      </c>
      <c r="E3" s="22">
        <f>E$22*'Rates (2)'!E3</f>
        <v>8.1666666666666661</v>
      </c>
      <c r="F3" s="22">
        <f>F$22*'Rates (2)'!F3</f>
        <v>35.750000000000007</v>
      </c>
      <c r="G3" s="22">
        <f>G$22*'Rates (2)'!G3</f>
        <v>54.130434782608702</v>
      </c>
      <c r="H3" s="22">
        <f>H$22*'Rates (2)'!H3</f>
        <v>133.7837837837838</v>
      </c>
      <c r="I3" s="22">
        <f>I$22*'Rates (2)'!I3</f>
        <v>186.39023825345049</v>
      </c>
      <c r="J3" s="22">
        <f>J$22*'Rates (2)'!J3</f>
        <v>234.8235294117647</v>
      </c>
      <c r="K3" s="22">
        <f>K$22*'Rates (2)'!K3</f>
        <v>61.874999999999993</v>
      </c>
      <c r="L3" s="22">
        <f>L$22*'Rates (2)'!L3</f>
        <v>132.14285714285714</v>
      </c>
      <c r="M3" s="22">
        <f>M$22*'Rates (2)'!M3</f>
        <v>212.83422459893049</v>
      </c>
      <c r="N3" s="22">
        <f>N$22*'Rates (2)'!N3</f>
        <v>45.230769230769226</v>
      </c>
      <c r="O3" s="22">
        <f>O$22*'Rates (2)'!O3</f>
        <v>89.4578313253012</v>
      </c>
      <c r="P3" s="22">
        <f>P$22*'Rates (2)'!P3</f>
        <v>128.08556149732621</v>
      </c>
      <c r="Q3" s="15">
        <f>Q$2*'Rates (2)'!Q3</f>
        <v>130.34</v>
      </c>
      <c r="R3" s="15">
        <f>R$2*'Rates (2)'!R3</f>
        <v>251.37</v>
      </c>
      <c r="S3" s="15">
        <f>S$2*'Rates (2)'!S3</f>
        <v>376.2</v>
      </c>
    </row>
    <row r="4" spans="1:19" x14ac:dyDescent="0.25">
      <c r="A4" s="3">
        <v>2032</v>
      </c>
      <c r="B4" s="22">
        <f>B$22*'Rates (2)'!B4</f>
        <v>225.67901234567901</v>
      </c>
      <c r="C4" s="22">
        <f>C$22*'Rates (2)'!C4</f>
        <v>306.66666666666663</v>
      </c>
      <c r="D4" s="22">
        <f>D$22*'Rates (2)'!D4</f>
        <v>345</v>
      </c>
      <c r="E4" s="22">
        <f>E$22*'Rates (2)'!E4</f>
        <v>8</v>
      </c>
      <c r="F4" s="22">
        <f>F$22*'Rates (2)'!F4</f>
        <v>35.31578947368422</v>
      </c>
      <c r="G4" s="22">
        <f>G$22*'Rates (2)'!G4</f>
        <v>53.913043478260867</v>
      </c>
      <c r="H4" s="22">
        <f>H$22*'Rates (2)'!H4</f>
        <v>132.43243243243242</v>
      </c>
      <c r="I4" s="22">
        <f>I$22*'Rates (2)'!I4</f>
        <v>186.39023825345049</v>
      </c>
      <c r="J4" s="22">
        <f>J$22*'Rates (2)'!J4</f>
        <v>234.35294117647061</v>
      </c>
      <c r="K4" s="22">
        <f>K$22*'Rates (2)'!K4</f>
        <v>61.249999999999993</v>
      </c>
      <c r="L4" s="22">
        <f>L$22*'Rates (2)'!L4</f>
        <v>132.01058201058203</v>
      </c>
      <c r="M4" s="22">
        <f>M$22*'Rates (2)'!M4</f>
        <v>211.76470588235296</v>
      </c>
      <c r="N4" s="22">
        <f>N$22*'Rates (2)'!N4</f>
        <v>44.307692307692307</v>
      </c>
      <c r="O4" s="22">
        <f>O$22*'Rates (2)'!O4</f>
        <v>88.554216867469876</v>
      </c>
      <c r="P4" s="22">
        <f>P$22*'Rates (2)'!P4</f>
        <v>127.82887700534759</v>
      </c>
      <c r="Q4" s="15">
        <f>Q$2*'Rates (2)'!Q4</f>
        <v>127.67999999999999</v>
      </c>
      <c r="R4" s="15">
        <f>R$2*'Rates (2)'!R4</f>
        <v>246.23999999999998</v>
      </c>
      <c r="S4" s="15">
        <f>S$2*'Rates (2)'!S4</f>
        <v>372.4</v>
      </c>
    </row>
    <row r="5" spans="1:19" x14ac:dyDescent="0.25">
      <c r="A5" s="3">
        <v>2033</v>
      </c>
      <c r="B5" s="22">
        <f>B$22*'Rates (2)'!B5</f>
        <v>215.55555555555554</v>
      </c>
      <c r="C5" s="22">
        <f>C$22*'Rates (2)'!C5</f>
        <v>293.33333333333331</v>
      </c>
      <c r="D5" s="22">
        <f>D$22*'Rates (2)'!D5</f>
        <v>337.5</v>
      </c>
      <c r="E5" s="22">
        <f>E$22*'Rates (2)'!E5</f>
        <v>7.833333333333333</v>
      </c>
      <c r="F5" s="22">
        <f>F$22*'Rates (2)'!F5</f>
        <v>34.881578947368432</v>
      </c>
      <c r="G5" s="22">
        <f>G$22*'Rates (2)'!G5</f>
        <v>53.695652173913047</v>
      </c>
      <c r="H5" s="22">
        <f>H$22*'Rates (2)'!H5</f>
        <v>131.08108108108107</v>
      </c>
      <c r="I5" s="22">
        <f>I$22*'Rates (2)'!I5</f>
        <v>184.50750857412268</v>
      </c>
      <c r="J5" s="22">
        <f>J$22*'Rates (2)'!J5</f>
        <v>232.94117647058826</v>
      </c>
      <c r="K5" s="22">
        <f>K$22*'Rates (2)'!K5</f>
        <v>60.624999999999993</v>
      </c>
      <c r="L5" s="22">
        <f>L$22*'Rates (2)'!L5</f>
        <v>131.87830687830686</v>
      </c>
      <c r="M5" s="22">
        <f>M$22*'Rates (2)'!M5</f>
        <v>210.69518716577539</v>
      </c>
      <c r="N5" s="22">
        <f>N$22*'Rates (2)'!N5</f>
        <v>43.384615384615387</v>
      </c>
      <c r="O5" s="22">
        <f>O$22*'Rates (2)'!O5</f>
        <v>88.102409638554207</v>
      </c>
      <c r="P5" s="22">
        <f>P$22*'Rates (2)'!P5</f>
        <v>127.57219251336898</v>
      </c>
      <c r="Q5" s="15">
        <f>Q$2*'Rates (2)'!Q5</f>
        <v>125.02</v>
      </c>
      <c r="R5" s="15">
        <f>R$2*'Rates (2)'!R5</f>
        <v>241.10999999999999</v>
      </c>
      <c r="S5" s="15">
        <f>S$2*'Rates (2)'!S5</f>
        <v>370.5</v>
      </c>
    </row>
    <row r="6" spans="1:19" x14ac:dyDescent="0.25">
      <c r="A6" s="3">
        <v>2034</v>
      </c>
      <c r="B6" s="22">
        <f>B$22*'Rates (2)'!B6</f>
        <v>206.17283950617283</v>
      </c>
      <c r="C6" s="22">
        <f>C$22*'Rates (2)'!C6</f>
        <v>283.33333333333331</v>
      </c>
      <c r="D6" s="22">
        <f>D$22*'Rates (2)'!D6</f>
        <v>329.99999999999994</v>
      </c>
      <c r="E6" s="22">
        <f>E$22*'Rates (2)'!E6</f>
        <v>7.666666666666667</v>
      </c>
      <c r="F6" s="22">
        <f>F$22*'Rates (2)'!F6</f>
        <v>34.447368421052644</v>
      </c>
      <c r="G6" s="22">
        <f>G$22*'Rates (2)'!G6</f>
        <v>53.478260869565219</v>
      </c>
      <c r="H6" s="22">
        <f>H$22*'Rates (2)'!H6</f>
        <v>129.72972972972974</v>
      </c>
      <c r="I6" s="22">
        <f>I$22*'Rates (2)'!I6</f>
        <v>184.50750857412268</v>
      </c>
      <c r="J6" s="22">
        <f>J$22*'Rates (2)'!J6</f>
        <v>231.76470588235296</v>
      </c>
      <c r="K6" s="22">
        <f>K$22*'Rates (2)'!K6</f>
        <v>60</v>
      </c>
      <c r="L6" s="22">
        <f>L$22*'Rates (2)'!L6</f>
        <v>131.74603174603175</v>
      </c>
      <c r="M6" s="22">
        <f>M$22*'Rates (2)'!M6</f>
        <v>209.62566844919786</v>
      </c>
      <c r="N6" s="22">
        <f>N$22*'Rates (2)'!N6</f>
        <v>42.461538461538467</v>
      </c>
      <c r="O6" s="22">
        <f>O$22*'Rates (2)'!O6</f>
        <v>87.650602409638566</v>
      </c>
      <c r="P6" s="22">
        <f>P$22*'Rates (2)'!P6</f>
        <v>127.31550802139036</v>
      </c>
      <c r="Q6" s="15">
        <f>Q$2*'Rates (2)'!Q6</f>
        <v>122.36</v>
      </c>
      <c r="R6" s="15">
        <f>R$2*'Rates (2)'!R6</f>
        <v>238.54500000000002</v>
      </c>
      <c r="S6" s="15">
        <f>S$2*'Rates (2)'!S6</f>
        <v>368.59999999999997</v>
      </c>
    </row>
    <row r="7" spans="1:19" x14ac:dyDescent="0.25">
      <c r="A7" s="3">
        <v>2035</v>
      </c>
      <c r="B7" s="22">
        <f>B$22*'Rates (2)'!B7</f>
        <v>197.53086419753086</v>
      </c>
      <c r="C7" s="22">
        <f>C$22*'Rates (2)'!C7</f>
        <v>273.33333333333331</v>
      </c>
      <c r="D7" s="22">
        <f>D$22*'Rates (2)'!D7</f>
        <v>326.25</v>
      </c>
      <c r="E7" s="22">
        <f>E$22*'Rates (2)'!E7</f>
        <v>7.5</v>
      </c>
      <c r="F7" s="22">
        <f>F$22*'Rates (2)'!F7</f>
        <v>34.01315789473685</v>
      </c>
      <c r="G7" s="22">
        <f>G$22*'Rates (2)'!G7</f>
        <v>53.260869565217398</v>
      </c>
      <c r="H7" s="22">
        <f>H$22*'Rates (2)'!H7</f>
        <v>128.37837837837839</v>
      </c>
      <c r="I7" s="22">
        <f>I$22*'Rates (2)'!I7</f>
        <v>182.62477889479493</v>
      </c>
      <c r="J7" s="22">
        <f>J$22*'Rates (2)'!J7</f>
        <v>230.58823529411762</v>
      </c>
      <c r="K7" s="22">
        <f>K$22*'Rates (2)'!K7</f>
        <v>59.374999999999986</v>
      </c>
      <c r="L7" s="22">
        <f>L$22*'Rates (2)'!L7</f>
        <v>131.61375661375664</v>
      </c>
      <c r="M7" s="22">
        <f>M$22*'Rates (2)'!M7</f>
        <v>208.5561497326203</v>
      </c>
      <c r="N7" s="22">
        <f>N$22*'Rates (2)'!N7</f>
        <v>41.53846153846154</v>
      </c>
      <c r="O7" s="22">
        <f>O$22*'Rates (2)'!O7</f>
        <v>87.46987951807229</v>
      </c>
      <c r="P7" s="22">
        <f>P$22*'Rates (2)'!P7</f>
        <v>127.05882352941177</v>
      </c>
      <c r="Q7" s="15">
        <f>Q$2*'Rates (2)'!Q7</f>
        <v>119.7</v>
      </c>
      <c r="R7" s="15">
        <f>R$2*'Rates (2)'!R7</f>
        <v>235.98000000000002</v>
      </c>
      <c r="S7" s="15">
        <f>S$2*'Rates (2)'!S7</f>
        <v>366.7</v>
      </c>
    </row>
    <row r="8" spans="1:19" x14ac:dyDescent="0.25">
      <c r="A8" s="3">
        <v>2036</v>
      </c>
      <c r="B8" s="22">
        <f>B$22*'Rates (2)'!B8</f>
        <v>191.60493827160494</v>
      </c>
      <c r="C8" s="22">
        <f>C$22*'Rates (2)'!C8</f>
        <v>263.33333333333326</v>
      </c>
      <c r="D8" s="22">
        <f>D$22*'Rates (2)'!D8</f>
        <v>322.5</v>
      </c>
      <c r="E8" s="22">
        <f>E$22*'Rates (2)'!E8</f>
        <v>7.3333333333333339</v>
      </c>
      <c r="F8" s="22">
        <f>F$22*'Rates (2)'!F8</f>
        <v>33.578947368421062</v>
      </c>
      <c r="G8" s="22">
        <f>G$22*'Rates (2)'!G8</f>
        <v>53.04347826086957</v>
      </c>
      <c r="H8" s="22">
        <f>H$22*'Rates (2)'!H8</f>
        <v>127.02702702702702</v>
      </c>
      <c r="I8" s="22">
        <f>I$22*'Rates (2)'!I8</f>
        <v>180.74204921546712</v>
      </c>
      <c r="J8" s="22">
        <f>J$22*'Rates (2)'!J8</f>
        <v>228.23529411764704</v>
      </c>
      <c r="K8" s="22">
        <f>K$22*'Rates (2)'!K8</f>
        <v>58.749999999999993</v>
      </c>
      <c r="L8" s="22">
        <f>L$22*'Rates (2)'!L8</f>
        <v>131.48148148148147</v>
      </c>
      <c r="M8" s="22">
        <f>M$22*'Rates (2)'!M8</f>
        <v>207.48663101604276</v>
      </c>
      <c r="N8" s="22">
        <f>N$22*'Rates (2)'!N8</f>
        <v>40.615384615384613</v>
      </c>
      <c r="O8" s="22">
        <f>O$22*'Rates (2)'!O8</f>
        <v>87.198795180722897</v>
      </c>
      <c r="P8" s="22">
        <f>P$22*'Rates (2)'!P8</f>
        <v>126.80213903743315</v>
      </c>
      <c r="Q8" s="15">
        <f>Q$2*'Rates (2)'!Q8</f>
        <v>117.04</v>
      </c>
      <c r="R8" s="15">
        <f>R$2*'Rates (2)'!R8</f>
        <v>233.41500000000002</v>
      </c>
      <c r="S8" s="15">
        <f>S$2*'Rates (2)'!S8</f>
        <v>364.8</v>
      </c>
    </row>
    <row r="9" spans="1:19" x14ac:dyDescent="0.25">
      <c r="A9" s="3">
        <v>2037</v>
      </c>
      <c r="B9" s="22">
        <f>B$22*'Rates (2)'!B9</f>
        <v>185.67901234567901</v>
      </c>
      <c r="C9" s="22">
        <f>C$22*'Rates (2)'!C9</f>
        <v>253.33333333333329</v>
      </c>
      <c r="D9" s="22">
        <f>D$22*'Rates (2)'!D9</f>
        <v>318.75</v>
      </c>
      <c r="E9" s="22">
        <f>E$22*'Rates (2)'!E9</f>
        <v>7.166666666666667</v>
      </c>
      <c r="F9" s="22">
        <f>F$22*'Rates (2)'!F9</f>
        <v>33.144736842105267</v>
      </c>
      <c r="G9" s="22">
        <f>G$22*'Rates (2)'!G9</f>
        <v>52.826086956521742</v>
      </c>
      <c r="H9" s="22">
        <f>H$22*'Rates (2)'!H9</f>
        <v>125.67567567567568</v>
      </c>
      <c r="I9" s="22">
        <f>I$22*'Rates (2)'!I9</f>
        <v>178.85931953613937</v>
      </c>
      <c r="J9" s="22">
        <f>J$22*'Rates (2)'!J9</f>
        <v>225.88235294117646</v>
      </c>
      <c r="K9" s="22">
        <f>K$22*'Rates (2)'!K9</f>
        <v>58.125000000000007</v>
      </c>
      <c r="L9" s="22">
        <f>L$22*'Rates (2)'!L9</f>
        <v>131.34920634920636</v>
      </c>
      <c r="M9" s="22">
        <f>M$22*'Rates (2)'!M9</f>
        <v>206.41711229946523</v>
      </c>
      <c r="N9" s="22">
        <f>N$22*'Rates (2)'!N9</f>
        <v>39.692307692307693</v>
      </c>
      <c r="O9" s="22">
        <f>O$22*'Rates (2)'!O9</f>
        <v>86.746987951807228</v>
      </c>
      <c r="P9" s="22">
        <f>P$22*'Rates (2)'!P9</f>
        <v>126.54545454545453</v>
      </c>
      <c r="Q9" s="15">
        <f>Q$2*'Rates (2)'!Q9</f>
        <v>114.38</v>
      </c>
      <c r="R9" s="15">
        <f>R$2*'Rates (2)'!R9</f>
        <v>230.85</v>
      </c>
      <c r="S9" s="15">
        <f>S$2*'Rates (2)'!S9</f>
        <v>362.9</v>
      </c>
    </row>
    <row r="10" spans="1:19" x14ac:dyDescent="0.25">
      <c r="A10" s="3">
        <v>2038</v>
      </c>
      <c r="B10" s="22">
        <f>B$22*'Rates (2)'!B10</f>
        <v>179.75308641975306</v>
      </c>
      <c r="C10" s="22">
        <f>C$22*'Rates (2)'!C10</f>
        <v>246.66666666666663</v>
      </c>
      <c r="D10" s="22">
        <f>D$22*'Rates (2)'!D10</f>
        <v>314.99999999999994</v>
      </c>
      <c r="E10" s="22">
        <f>E$22*'Rates (2)'!E10</f>
        <v>7</v>
      </c>
      <c r="F10" s="22">
        <f>F$22*'Rates (2)'!F10</f>
        <v>32.71052631578948</v>
      </c>
      <c r="G10" s="22">
        <f>G$22*'Rates (2)'!G10</f>
        <v>52.608695652173921</v>
      </c>
      <c r="H10" s="22">
        <f>H$22*'Rates (2)'!H10</f>
        <v>124.32432432432432</v>
      </c>
      <c r="I10" s="22">
        <f>I$22*'Rates (2)'!I10</f>
        <v>176.97658985681156</v>
      </c>
      <c r="J10" s="22">
        <f>J$22*'Rates (2)'!J10</f>
        <v>223.52941176470588</v>
      </c>
      <c r="K10" s="22">
        <f>K$22*'Rates (2)'!K10</f>
        <v>57.499999999999993</v>
      </c>
      <c r="L10" s="22">
        <f>L$22*'Rates (2)'!L10</f>
        <v>131.21693121693124</v>
      </c>
      <c r="M10" s="22">
        <f>M$22*'Rates (2)'!M10</f>
        <v>205.34759358288767</v>
      </c>
      <c r="N10" s="22">
        <f>N$22*'Rates (2)'!N10</f>
        <v>38.769230769230766</v>
      </c>
      <c r="O10" s="22">
        <f>O$22*'Rates (2)'!O10</f>
        <v>85.843373493975903</v>
      </c>
      <c r="P10" s="22">
        <f>P$22*'Rates (2)'!P10</f>
        <v>126.28877005347591</v>
      </c>
      <c r="Q10" s="15">
        <f>Q$2*'Rates (2)'!Q10</f>
        <v>111.72</v>
      </c>
      <c r="R10" s="15">
        <f>R$2*'Rates (2)'!R10</f>
        <v>228.285</v>
      </c>
      <c r="S10" s="15">
        <f>S$2*'Rates (2)'!S10</f>
        <v>361</v>
      </c>
    </row>
    <row r="11" spans="1:19" x14ac:dyDescent="0.25">
      <c r="A11" s="3">
        <v>2039</v>
      </c>
      <c r="B11" s="22">
        <f>B$22*'Rates (2)'!B11</f>
        <v>175.30864197530863</v>
      </c>
      <c r="C11" s="22">
        <f>C$22*'Rates (2)'!C11</f>
        <v>239.99999999999994</v>
      </c>
      <c r="D11" s="22">
        <f>D$22*'Rates (2)'!D11</f>
        <v>311.24999999999994</v>
      </c>
      <c r="E11" s="22">
        <f>E$22*'Rates (2)'!E11</f>
        <v>6.8333333333333339</v>
      </c>
      <c r="F11" s="22">
        <f>F$22*'Rates (2)'!F11</f>
        <v>32.276315789473685</v>
      </c>
      <c r="G11" s="22">
        <f>G$22*'Rates (2)'!G11</f>
        <v>52.391304347826086</v>
      </c>
      <c r="H11" s="22">
        <f>H$22*'Rates (2)'!H11</f>
        <v>122.97297297297298</v>
      </c>
      <c r="I11" s="22">
        <f>I$22*'Rates (2)'!I11</f>
        <v>175.0938601774838</v>
      </c>
      <c r="J11" s="22">
        <f>J$22*'Rates (2)'!J11</f>
        <v>221.1764705882353</v>
      </c>
      <c r="K11" s="22">
        <f>K$22*'Rates (2)'!K11</f>
        <v>56.875</v>
      </c>
      <c r="L11" s="22">
        <f>L$22*'Rates (2)'!L11</f>
        <v>131.08465608465607</v>
      </c>
      <c r="M11" s="22">
        <f>M$22*'Rates (2)'!M11</f>
        <v>204.27807486631013</v>
      </c>
      <c r="N11" s="22">
        <f>N$22*'Rates (2)'!N11</f>
        <v>37.846153846153847</v>
      </c>
      <c r="O11" s="22">
        <f>O$22*'Rates (2)'!O11</f>
        <v>84.939759036144579</v>
      </c>
      <c r="P11" s="22">
        <f>P$22*'Rates (2)'!P11</f>
        <v>126.03208556149733</v>
      </c>
      <c r="Q11" s="15">
        <f>Q$2*'Rates (2)'!Q11</f>
        <v>109.05999999999999</v>
      </c>
      <c r="R11" s="15">
        <f>R$2*'Rates (2)'!R11</f>
        <v>225.72</v>
      </c>
      <c r="S11" s="15">
        <f>S$2*'Rates (2)'!S11</f>
        <v>359.09999999999997</v>
      </c>
    </row>
    <row r="12" spans="1:19" x14ac:dyDescent="0.25">
      <c r="A12" s="3">
        <v>2040</v>
      </c>
      <c r="B12" s="22">
        <f>B$22*'Rates (2)'!B12</f>
        <v>170.37037037037035</v>
      </c>
      <c r="C12" s="22">
        <f>C$22*'Rates (2)'!C12</f>
        <v>236.66666666666663</v>
      </c>
      <c r="D12" s="22">
        <f>D$22*'Rates (2)'!D12</f>
        <v>309.37499999999994</v>
      </c>
      <c r="E12" s="22">
        <f>E$22*'Rates (2)'!E12</f>
        <v>6.6666666666666679</v>
      </c>
      <c r="F12" s="22">
        <f>F$22*'Rates (2)'!F12</f>
        <v>31.842105263157901</v>
      </c>
      <c r="G12" s="22">
        <f>G$22*'Rates (2)'!G12</f>
        <v>52.173913043478258</v>
      </c>
      <c r="H12" s="22">
        <f>H$22*'Rates (2)'!H12</f>
        <v>121.62162162162163</v>
      </c>
      <c r="I12" s="22">
        <f>I$22*'Rates (2)'!I12</f>
        <v>173.21113049815602</v>
      </c>
      <c r="J12" s="22">
        <f>J$22*'Rates (2)'!J12</f>
        <v>218.82352941176472</v>
      </c>
      <c r="K12" s="22">
        <f>K$22*'Rates (2)'!K12</f>
        <v>56.25</v>
      </c>
      <c r="L12" s="22">
        <f>L$22*'Rates (2)'!L12</f>
        <v>130.95238095238096</v>
      </c>
      <c r="M12" s="22">
        <f>M$22*'Rates (2)'!M12</f>
        <v>203.2085561497326</v>
      </c>
      <c r="N12" s="22">
        <f>N$22*'Rates (2)'!N12</f>
        <v>36.923076923076927</v>
      </c>
      <c r="O12" s="22">
        <f>O$22*'Rates (2)'!O12</f>
        <v>84.036144578313269</v>
      </c>
      <c r="P12" s="22">
        <f>P$22*'Rates (2)'!P12</f>
        <v>125.77540106951871</v>
      </c>
      <c r="Q12" s="15">
        <f>Q$2*'Rates (2)'!Q12</f>
        <v>106.4</v>
      </c>
      <c r="R12" s="15">
        <f>R$2*'Rates (2)'!R12</f>
        <v>224.4375</v>
      </c>
      <c r="S12" s="15">
        <f>S$2*'Rates (2)'!S12</f>
        <v>357.2</v>
      </c>
    </row>
    <row r="13" spans="1:19" x14ac:dyDescent="0.25">
      <c r="A13" s="3">
        <v>2041</v>
      </c>
      <c r="B13" s="22">
        <f>B$22*'Rates (2)'!B13</f>
        <v>160.49382716049382</v>
      </c>
      <c r="C13" s="22">
        <f>C$22*'Rates (2)'!C13</f>
        <v>231.6666666666666</v>
      </c>
      <c r="D13" s="22">
        <f>D$22*'Rates (2)'!D13</f>
        <v>307.5</v>
      </c>
      <c r="E13" s="22">
        <f>E$22*'Rates (2)'!E13</f>
        <v>6.5</v>
      </c>
      <c r="F13" s="22">
        <f>F$22*'Rates (2)'!F13</f>
        <v>31.40789473684211</v>
      </c>
      <c r="G13" s="22">
        <f>G$22*'Rates (2)'!G13</f>
        <v>51.956521739130437</v>
      </c>
      <c r="H13" s="22">
        <f>H$22*'Rates (2)'!H13</f>
        <v>119.59459459459461</v>
      </c>
      <c r="I13" s="22">
        <f>I$22*'Rates (2)'!I13</f>
        <v>171.32840081882824</v>
      </c>
      <c r="J13" s="22">
        <f>J$22*'Rates (2)'!J13</f>
        <v>217.64705882352945</v>
      </c>
      <c r="K13" s="22">
        <f>K$22*'Rates (2)'!K13</f>
        <v>55.625</v>
      </c>
      <c r="L13" s="22">
        <f>L$22*'Rates (2)'!L13</f>
        <v>130.71210471151085</v>
      </c>
      <c r="M13" s="22">
        <f>M$22*'Rates (2)'!M13</f>
        <v>202.78074866310158</v>
      </c>
      <c r="N13" s="22">
        <f>N$22*'Rates (2)'!N13</f>
        <v>36</v>
      </c>
      <c r="O13" s="22">
        <f>O$22*'Rates (2)'!O13</f>
        <v>83.132530120481931</v>
      </c>
      <c r="P13" s="22">
        <f>P$22*'Rates (2)'!P13</f>
        <v>125.51871657754009</v>
      </c>
      <c r="Q13" s="15">
        <f>Q$2*'Rates (2)'!Q13</f>
        <v>105.07000000000001</v>
      </c>
      <c r="R13" s="15">
        <f>R$2*'Rates (2)'!R13</f>
        <v>223.155</v>
      </c>
      <c r="S13" s="15">
        <f>S$2*'Rates (2)'!S13</f>
        <v>355.3</v>
      </c>
    </row>
    <row r="14" spans="1:19" x14ac:dyDescent="0.25">
      <c r="A14" s="3">
        <v>2042</v>
      </c>
      <c r="B14" s="22">
        <f>B$22*'Rates (2)'!B14</f>
        <v>151.11111111111111</v>
      </c>
      <c r="C14" s="22">
        <f>C$22*'Rates (2)'!C14</f>
        <v>226.66666666666666</v>
      </c>
      <c r="D14" s="22">
        <f>D$22*'Rates (2)'!D14</f>
        <v>305.62499999999994</v>
      </c>
      <c r="E14" s="22">
        <f>E$22*'Rates (2)'!E14</f>
        <v>6.3333333333333339</v>
      </c>
      <c r="F14" s="22">
        <f>F$22*'Rates (2)'!F14</f>
        <v>30.973684210526322</v>
      </c>
      <c r="G14" s="22">
        <f>G$22*'Rates (2)'!G14</f>
        <v>51.739130434782609</v>
      </c>
      <c r="H14" s="22">
        <f>H$22*'Rates (2)'!H14</f>
        <v>117.56756756756756</v>
      </c>
      <c r="I14" s="22">
        <f>I$22*'Rates (2)'!I14</f>
        <v>169.44567113950043</v>
      </c>
      <c r="J14" s="22">
        <f>J$22*'Rates (2)'!J14</f>
        <v>216.47058823529414</v>
      </c>
      <c r="K14" s="22">
        <f>K$22*'Rates (2)'!K14</f>
        <v>54.999999999999993</v>
      </c>
      <c r="L14" s="22">
        <f>L$22*'Rates (2)'!L14</f>
        <v>130.42328042328043</v>
      </c>
      <c r="M14" s="22">
        <f>M$22*'Rates (2)'!M14</f>
        <v>202.35294117647058</v>
      </c>
      <c r="N14" s="22">
        <f>N$22*'Rates (2)'!N14</f>
        <v>35.07692307692308</v>
      </c>
      <c r="O14" s="22">
        <f>O$22*'Rates (2)'!O14</f>
        <v>82.228915662650607</v>
      </c>
      <c r="P14" s="22">
        <f>P$22*'Rates (2)'!P14</f>
        <v>125.13368983957218</v>
      </c>
      <c r="Q14" s="15">
        <f>Q$2*'Rates (2)'!Q14</f>
        <v>103.74000000000001</v>
      </c>
      <c r="R14" s="15">
        <f>R$2*'Rates (2)'!R14</f>
        <v>220.59</v>
      </c>
      <c r="S14" s="15">
        <f>S$2*'Rates (2)'!S14</f>
        <v>353.40000000000003</v>
      </c>
    </row>
    <row r="15" spans="1:19" x14ac:dyDescent="0.25">
      <c r="A15" s="3">
        <v>2043</v>
      </c>
      <c r="B15" s="22">
        <f>B$22*'Rates (2)'!B15</f>
        <v>141.97530864197529</v>
      </c>
      <c r="C15" s="22">
        <f>C$22*'Rates (2)'!C15</f>
        <v>221.66666666666663</v>
      </c>
      <c r="D15" s="22">
        <f>D$22*'Rates (2)'!D15</f>
        <v>303.75</v>
      </c>
      <c r="E15" s="22">
        <f>E$22*'Rates (2)'!E15</f>
        <v>6.166666666666667</v>
      </c>
      <c r="F15" s="22">
        <f>F$22*'Rates (2)'!F15</f>
        <v>30.539473684210531</v>
      </c>
      <c r="G15" s="22">
        <f>G$22*'Rates (2)'!G15</f>
        <v>51.521739130434781</v>
      </c>
      <c r="H15" s="22">
        <f>H$22*'Rates (2)'!H15</f>
        <v>116.21621621621621</v>
      </c>
      <c r="I15" s="22">
        <f>I$22*'Rates (2)'!I15</f>
        <v>167.56294146017265</v>
      </c>
      <c r="J15" s="22">
        <f>J$22*'Rates (2)'!J15</f>
        <v>215.29411764705887</v>
      </c>
      <c r="K15" s="22">
        <f>K$22*'Rates (2)'!K15</f>
        <v>54.374999999999993</v>
      </c>
      <c r="L15" s="22">
        <f>L$22*'Rates (2)'!L15</f>
        <v>130.15873015873018</v>
      </c>
      <c r="M15" s="22">
        <f>M$22*'Rates (2)'!M15</f>
        <v>201.92513368983956</v>
      </c>
      <c r="N15" s="22">
        <f>N$22*'Rates (2)'!N15</f>
        <v>34.153846153846153</v>
      </c>
      <c r="O15" s="22">
        <f>O$22*'Rates (2)'!O15</f>
        <v>81.325301204819283</v>
      </c>
      <c r="P15" s="22">
        <f>P$22*'Rates (2)'!P15</f>
        <v>124.49197860962566</v>
      </c>
      <c r="Q15" s="15">
        <f>Q$2*'Rates (2)'!Q15</f>
        <v>102.41</v>
      </c>
      <c r="R15" s="15">
        <f>R$2*'Rates (2)'!R15</f>
        <v>218.02500000000001</v>
      </c>
      <c r="S15" s="15">
        <f>S$2*'Rates (2)'!S15</f>
        <v>352.64000000000004</v>
      </c>
    </row>
    <row r="16" spans="1:19" x14ac:dyDescent="0.25">
      <c r="A16" s="3">
        <v>2044</v>
      </c>
      <c r="B16" s="22">
        <f>B$22*'Rates (2)'!B16</f>
        <v>132.09876543209879</v>
      </c>
      <c r="C16" s="22">
        <f>C$22*'Rates (2)'!C16</f>
        <v>216.66666666666666</v>
      </c>
      <c r="D16" s="22">
        <f>D$22*'Rates (2)'!D16</f>
        <v>301.875</v>
      </c>
      <c r="E16" s="22">
        <f>E$22*'Rates (2)'!E16</f>
        <v>6</v>
      </c>
      <c r="F16" s="22">
        <f>F$22*'Rates (2)'!F16</f>
        <v>30.10526315789474</v>
      </c>
      <c r="G16" s="22">
        <f>G$22*'Rates (2)'!G16</f>
        <v>51.304347826086961</v>
      </c>
      <c r="H16" s="22">
        <f>H$22*'Rates (2)'!H16</f>
        <v>114.86486486486487</v>
      </c>
      <c r="I16" s="22">
        <f>I$22*'Rates (2)'!I16</f>
        <v>165.68021178084487</v>
      </c>
      <c r="J16" s="22">
        <f>J$22*'Rates (2)'!J16</f>
        <v>214.11764705882354</v>
      </c>
      <c r="K16" s="22">
        <f>K$22*'Rates (2)'!K16</f>
        <v>53.75</v>
      </c>
      <c r="L16" s="22">
        <f>L$22*'Rates (2)'!L16</f>
        <v>129.8941798941799</v>
      </c>
      <c r="M16" s="22">
        <f>M$22*'Rates (2)'!M16</f>
        <v>201.49732620320853</v>
      </c>
      <c r="N16" s="22">
        <f>N$22*'Rates (2)'!N16</f>
        <v>33.230769230769226</v>
      </c>
      <c r="O16" s="22">
        <f>O$22*'Rates (2)'!O16</f>
        <v>80.421686746987959</v>
      </c>
      <c r="P16" s="22">
        <f>P$22*'Rates (2)'!P16</f>
        <v>123.85026737967914</v>
      </c>
      <c r="Q16" s="15">
        <f>Q$2*'Rates (2)'!Q16</f>
        <v>101.08</v>
      </c>
      <c r="R16" s="15">
        <f>R$2*'Rates (2)'!R16</f>
        <v>216.74250000000001</v>
      </c>
      <c r="S16" s="15">
        <f>S$2*'Rates (2)'!S16</f>
        <v>351.5</v>
      </c>
    </row>
    <row r="17" spans="1:19" x14ac:dyDescent="0.25">
      <c r="A17" s="3">
        <v>2045</v>
      </c>
      <c r="B17" s="22">
        <f>B$22*'Rates (2)'!B17</f>
        <v>123.45679012345678</v>
      </c>
      <c r="C17" s="22">
        <f>C$22*'Rates (2)'!C17</f>
        <v>213.33333333333329</v>
      </c>
      <c r="D17" s="22">
        <f>D$22*'Rates (2)'!D17</f>
        <v>300</v>
      </c>
      <c r="E17" s="22">
        <f>E$22*'Rates (2)'!E17</f>
        <v>5.8333333333333339</v>
      </c>
      <c r="F17" s="22">
        <f>F$22*'Rates (2)'!F17</f>
        <v>29.671052631578949</v>
      </c>
      <c r="G17" s="22">
        <f>G$22*'Rates (2)'!G17</f>
        <v>51.086956521739133</v>
      </c>
      <c r="H17" s="22">
        <f>H$22*'Rates (2)'!H17</f>
        <v>113.51351351351352</v>
      </c>
      <c r="I17" s="22">
        <f>I$22*'Rates (2)'!I17</f>
        <v>163.67832055349132</v>
      </c>
      <c r="J17" s="22">
        <f>J$22*'Rates (2)'!J17</f>
        <v>211.76470588235296</v>
      </c>
      <c r="K17" s="22">
        <f>K$22*'Rates (2)'!K17</f>
        <v>53.125</v>
      </c>
      <c r="L17" s="22">
        <f>L$22*'Rates (2)'!L17</f>
        <v>129.62962962962962</v>
      </c>
      <c r="M17" s="22">
        <f>M$22*'Rates (2)'!M17</f>
        <v>201.06951871657751</v>
      </c>
      <c r="N17" s="22">
        <f>N$22*'Rates (2)'!N17</f>
        <v>32.307692307692307</v>
      </c>
      <c r="O17" s="22">
        <f>O$22*'Rates (2)'!O17</f>
        <v>79.518072289156635</v>
      </c>
      <c r="P17" s="22">
        <f>P$22*'Rates (2)'!P17</f>
        <v>123.2085561497326</v>
      </c>
      <c r="Q17" s="15">
        <f>Q$2*'Rates (2)'!Q17</f>
        <v>99.75</v>
      </c>
      <c r="R17" s="15">
        <f>R$2*'Rates (2)'!R17</f>
        <v>215.45999999999998</v>
      </c>
      <c r="S17" s="15">
        <f>S$2*'Rates (2)'!S17</f>
        <v>349.6</v>
      </c>
    </row>
    <row r="18" spans="1:19" x14ac:dyDescent="0.25">
      <c r="A18" s="3">
        <v>2046</v>
      </c>
      <c r="B18" s="22">
        <f>B$22*'Rates (2)'!B18</f>
        <v>118.5185185185185</v>
      </c>
      <c r="C18" s="22">
        <f>C$22*'Rates (2)'!C18</f>
        <v>209.99999999999997</v>
      </c>
      <c r="D18" s="22">
        <f>D$22*'Rates (2)'!D18</f>
        <v>300</v>
      </c>
      <c r="E18" s="22">
        <f>E$22*'Rates (2)'!E18</f>
        <v>5.6666666666666679</v>
      </c>
      <c r="F18" s="22">
        <f>F$22*'Rates (2)'!F18</f>
        <v>29.236842105263158</v>
      </c>
      <c r="G18" s="22">
        <f>G$22*'Rates (2)'!G18</f>
        <v>50.869565217391312</v>
      </c>
      <c r="H18" s="22">
        <f>H$22*'Rates (2)'!H18</f>
        <v>110.81081081081081</v>
      </c>
      <c r="I18" s="22">
        <f>I$22*'Rates (2)'!I18</f>
        <v>161.91475242218931</v>
      </c>
      <c r="J18" s="22">
        <f>J$22*'Rates (2)'!J18</f>
        <v>209.41176470588238</v>
      </c>
      <c r="K18" s="22">
        <f>K$22*'Rates (2)'!K18</f>
        <v>52.499999999999993</v>
      </c>
      <c r="L18" s="22">
        <f>L$22*'Rates (2)'!L18</f>
        <v>128.3068783068783</v>
      </c>
      <c r="M18" s="22">
        <f>M$22*'Rates (2)'!M18</f>
        <v>201.06951871657751</v>
      </c>
      <c r="N18" s="22">
        <f>N$22*'Rates (2)'!N18</f>
        <v>31.84615384615384</v>
      </c>
      <c r="O18" s="22">
        <f>O$22*'Rates (2)'!O18</f>
        <v>78.614457831325311</v>
      </c>
      <c r="P18" s="22">
        <f>P$22*'Rates (2)'!P18</f>
        <v>122.56684491978608</v>
      </c>
      <c r="Q18" s="15">
        <f>Q$2*'Rates (2)'!Q18</f>
        <v>98.42</v>
      </c>
      <c r="R18" s="15">
        <f>R$2*'Rates (2)'!R18</f>
        <v>214.947</v>
      </c>
      <c r="S18" s="15">
        <f>S$2*'Rates (2)'!S18</f>
        <v>348.84000000000003</v>
      </c>
    </row>
    <row r="19" spans="1:19" x14ac:dyDescent="0.25">
      <c r="A19" s="3">
        <v>2047</v>
      </c>
      <c r="B19" s="22">
        <f>B$22*'Rates (2)'!B19</f>
        <v>113.58024691358024</v>
      </c>
      <c r="C19" s="22">
        <f>C$22*'Rates (2)'!C19</f>
        <v>206.66666666666663</v>
      </c>
      <c r="D19" s="22">
        <f>D$22*'Rates (2)'!D19</f>
        <v>300</v>
      </c>
      <c r="E19" s="22">
        <f>E$22*'Rates (2)'!E19</f>
        <v>5.5</v>
      </c>
      <c r="F19" s="22">
        <f>F$22*'Rates (2)'!F19</f>
        <v>28.802631578947373</v>
      </c>
      <c r="G19" s="22">
        <f>G$22*'Rates (2)'!G19</f>
        <v>50.652173913043477</v>
      </c>
      <c r="H19" s="22">
        <f>H$22*'Rates (2)'!H19</f>
        <v>108.10810810810811</v>
      </c>
      <c r="I19" s="22">
        <f>I$22*'Rates (2)'!I19</f>
        <v>158.14929306353375</v>
      </c>
      <c r="J19" s="22">
        <f>J$22*'Rates (2)'!J19</f>
        <v>207.0588235294118</v>
      </c>
      <c r="K19" s="22">
        <f>K$22*'Rates (2)'!K19</f>
        <v>51.874999999999993</v>
      </c>
      <c r="L19" s="22">
        <f>L$22*'Rates (2)'!L19</f>
        <v>126.98412698412697</v>
      </c>
      <c r="M19" s="22">
        <f>M$22*'Rates (2)'!M19</f>
        <v>201.06951871657751</v>
      </c>
      <c r="N19" s="22">
        <f>N$22*'Rates (2)'!N19</f>
        <v>31.384615384615387</v>
      </c>
      <c r="O19" s="22">
        <f>O$22*'Rates (2)'!O19</f>
        <v>77.710843373493972</v>
      </c>
      <c r="P19" s="22">
        <f>P$22*'Rates (2)'!P19</f>
        <v>121.92513368983956</v>
      </c>
      <c r="Q19" s="15">
        <f>Q$2*'Rates (2)'!Q19</f>
        <v>97.09</v>
      </c>
      <c r="R19" s="15">
        <f>R$2*'Rates (2)'!R19</f>
        <v>214.17749999999998</v>
      </c>
      <c r="S19" s="15">
        <f>S$2*'Rates (2)'!S19</f>
        <v>348.08000000000004</v>
      </c>
    </row>
    <row r="20" spans="1:19" x14ac:dyDescent="0.25">
      <c r="A20" s="3">
        <v>2048</v>
      </c>
      <c r="B20" s="22">
        <f>B$22*'Rates (2)'!B20</f>
        <v>108.64197530864197</v>
      </c>
      <c r="C20" s="22">
        <f>C$22*'Rates (2)'!C20</f>
        <v>203.33333333333329</v>
      </c>
      <c r="D20" s="22">
        <f>D$22*'Rates (2)'!D20</f>
        <v>300</v>
      </c>
      <c r="E20" s="22">
        <f>E$22*'Rates (2)'!E20</f>
        <v>5.333333333333333</v>
      </c>
      <c r="F20" s="22">
        <f>F$22*'Rates (2)'!F20</f>
        <v>28.368421052631582</v>
      </c>
      <c r="G20" s="22">
        <f>G$22*'Rates (2)'!G20</f>
        <v>50.434782608695649</v>
      </c>
      <c r="H20" s="22">
        <f>H$22*'Rates (2)'!H20</f>
        <v>105.40540540540542</v>
      </c>
      <c r="I20" s="22">
        <f>I$22*'Rates (2)'!I20</f>
        <v>156.26656338420597</v>
      </c>
      <c r="J20" s="22">
        <f>J$22*'Rates (2)'!J20</f>
        <v>204.70588235294116</v>
      </c>
      <c r="K20" s="22">
        <f>K$22*'Rates (2)'!K20</f>
        <v>51.249999999999993</v>
      </c>
      <c r="L20" s="22">
        <f>L$22*'Rates (2)'!L20</f>
        <v>126.32275132275133</v>
      </c>
      <c r="M20" s="22">
        <f>M$22*'Rates (2)'!M20</f>
        <v>201.06951871657751</v>
      </c>
      <c r="N20" s="22">
        <f>N$22*'Rates (2)'!N20</f>
        <v>30.923076923076927</v>
      </c>
      <c r="O20" s="22">
        <f>O$22*'Rates (2)'!O20</f>
        <v>76.807228915662662</v>
      </c>
      <c r="P20" s="22">
        <f>P$22*'Rates (2)'!P20</f>
        <v>121.28342245989303</v>
      </c>
      <c r="Q20" s="15">
        <f>Q$2*'Rates (2)'!Q20</f>
        <v>95.759999999999991</v>
      </c>
      <c r="R20" s="15">
        <f>R$2*'Rates (2)'!R20</f>
        <v>212.89499999999998</v>
      </c>
      <c r="S20" s="15">
        <f>S$2*'Rates (2)'!S20</f>
        <v>347.32</v>
      </c>
    </row>
    <row r="21" spans="1:19" x14ac:dyDescent="0.25">
      <c r="A21" s="3">
        <v>2049</v>
      </c>
      <c r="B21" s="22">
        <f>B$22*'Rates (2)'!B21</f>
        <v>103.7037037037037</v>
      </c>
      <c r="C21" s="22">
        <f>C$22*'Rates (2)'!C21</f>
        <v>201.66666666666663</v>
      </c>
      <c r="D21" s="22">
        <f>D$22*'Rates (2)'!D21</f>
        <v>300</v>
      </c>
      <c r="E21" s="22">
        <f>E$22*'Rates (2)'!E21</f>
        <v>5.166666666666667</v>
      </c>
      <c r="F21" s="22">
        <f>F$22*'Rates (2)'!F21</f>
        <v>27.934210526315791</v>
      </c>
      <c r="G21" s="22">
        <f>G$22*'Rates (2)'!G21</f>
        <v>50.217391304347828</v>
      </c>
      <c r="H21" s="22">
        <f>H$22*'Rates (2)'!H21</f>
        <v>102.70270270270269</v>
      </c>
      <c r="I21" s="22">
        <f>I$22*'Rates (2)'!I21</f>
        <v>152.5011040255504</v>
      </c>
      <c r="J21" s="22">
        <f>J$22*'Rates (2)'!J21</f>
        <v>202.35294117647058</v>
      </c>
      <c r="K21" s="22">
        <f>K$22*'Rates (2)'!K21</f>
        <v>50.625</v>
      </c>
      <c r="L21" s="22">
        <f>L$22*'Rates (2)'!L21</f>
        <v>125.66137566137567</v>
      </c>
      <c r="M21" s="22">
        <f>M$22*'Rates (2)'!M21</f>
        <v>201.06951871657751</v>
      </c>
      <c r="N21" s="22">
        <f>N$22*'Rates (2)'!N21</f>
        <v>30.46153846153846</v>
      </c>
      <c r="O21" s="22">
        <f>O$22*'Rates (2)'!O21</f>
        <v>75.903614457831324</v>
      </c>
      <c r="P21" s="22">
        <f>P$22*'Rates (2)'!P21</f>
        <v>120.64171122994649</v>
      </c>
      <c r="Q21" s="15">
        <f>Q$2*'Rates (2)'!Q21</f>
        <v>94.429999999999993</v>
      </c>
      <c r="R21" s="15">
        <f>R$2*'Rates (2)'!R21</f>
        <v>211.61249999999998</v>
      </c>
      <c r="S21" s="15">
        <f>S$2*'Rates (2)'!S21</f>
        <v>346.56</v>
      </c>
    </row>
    <row r="22" spans="1:19" x14ac:dyDescent="0.25">
      <c r="A22" s="3">
        <v>2050</v>
      </c>
      <c r="B22" s="7">
        <v>100</v>
      </c>
      <c r="C22" s="7">
        <v>200</v>
      </c>
      <c r="D22" s="7">
        <v>300</v>
      </c>
      <c r="E22" s="7">
        <v>5</v>
      </c>
      <c r="F22" s="7">
        <v>27.5</v>
      </c>
      <c r="G22" s="7">
        <v>50</v>
      </c>
      <c r="H22" s="7">
        <v>100</v>
      </c>
      <c r="I22" s="7">
        <v>150</v>
      </c>
      <c r="J22" s="7">
        <v>200</v>
      </c>
      <c r="K22" s="7">
        <v>50</v>
      </c>
      <c r="L22" s="7">
        <v>125</v>
      </c>
      <c r="M22" s="7">
        <v>200</v>
      </c>
      <c r="N22" s="7">
        <v>30</v>
      </c>
      <c r="O22" s="7">
        <v>75</v>
      </c>
      <c r="P22" s="7">
        <v>120</v>
      </c>
      <c r="Q22" s="15">
        <f>Q$2*'Rates (2)'!Q22</f>
        <v>93.1</v>
      </c>
      <c r="R22" s="15">
        <f>R$2*'Rates (2)'!R22</f>
        <v>210.32999999999998</v>
      </c>
      <c r="S22" s="15">
        <f>S$2*'Rates (2)'!S22</f>
        <v>345.8</v>
      </c>
    </row>
    <row r="23" spans="1:19" x14ac:dyDescent="0.25">
      <c r="A23" s="3">
        <v>2051</v>
      </c>
      <c r="B23" s="15">
        <f>B$22*'Rates (2)'!B23</f>
        <v>95.802469135802468</v>
      </c>
      <c r="C23" s="15">
        <f>C$22*'Rates (2)'!C23</f>
        <v>198.33333333333329</v>
      </c>
      <c r="D23" s="15">
        <f>D$22*'Rates (2)'!D23</f>
        <v>300</v>
      </c>
      <c r="E23" s="15">
        <f>E$22*'Rates (2)'!E23</f>
        <v>4.833333333333333</v>
      </c>
      <c r="F23" s="15">
        <f>F$22*'Rates (2)'!F23</f>
        <v>27.065789473684209</v>
      </c>
      <c r="G23" s="15">
        <f>G$22*'Rates (2)'!G23</f>
        <v>49.782608695652172</v>
      </c>
      <c r="H23" s="15">
        <f>H$22*'Rates (2)'!H23</f>
        <v>97.297297297297291</v>
      </c>
      <c r="I23" s="15">
        <f>I$22*'Rates (2)'!I23</f>
        <v>146.85291498756706</v>
      </c>
      <c r="J23" s="15">
        <f>J$22*'Rates (2)'!J23</f>
        <v>197.64705882352942</v>
      </c>
      <c r="K23" s="15">
        <f>K$22*'Rates (2)'!K23</f>
        <v>50</v>
      </c>
      <c r="L23" s="15">
        <f>L$22*'Rates (2)'!L23</f>
        <v>124.33862433862433</v>
      </c>
      <c r="M23" s="15">
        <f>M$22*'Rates (2)'!M23</f>
        <v>200</v>
      </c>
      <c r="N23" s="15">
        <f>N$22*'Rates (2)'!N23</f>
        <v>29.538461538461537</v>
      </c>
      <c r="O23" s="15">
        <f>O$22*'Rates (2)'!O23</f>
        <v>74.096385542168676</v>
      </c>
      <c r="P23" s="15">
        <f>P$22*'Rates (2)'!P23</f>
        <v>119.35828877005348</v>
      </c>
      <c r="Q23" s="15">
        <f>Q$2*'Rates (2)'!Q23</f>
        <v>91.77</v>
      </c>
      <c r="R23" s="15">
        <f>R$2*'Rates (2)'!R23</f>
        <v>209.81699999999998</v>
      </c>
      <c r="S23" s="15">
        <f>S$2*'Rates (2)'!S23</f>
        <v>345.04</v>
      </c>
    </row>
    <row r="24" spans="1:19" x14ac:dyDescent="0.25">
      <c r="A24" s="3">
        <v>2052</v>
      </c>
      <c r="B24" s="15">
        <f>B$22*'Rates (2)'!B24</f>
        <v>90.617283950617278</v>
      </c>
      <c r="C24" s="15">
        <f>C$22*'Rates (2)'!C24</f>
        <v>196.66666666666663</v>
      </c>
      <c r="D24" s="15">
        <f>D$22*'Rates (2)'!D24</f>
        <v>300</v>
      </c>
      <c r="E24" s="15">
        <f>E$22*'Rates (2)'!E24</f>
        <v>4.666666666666667</v>
      </c>
      <c r="F24" s="15">
        <f>F$22*'Rates (2)'!F24</f>
        <v>26.631578947368421</v>
      </c>
      <c r="G24" s="15">
        <f>G$22*'Rates (2)'!G24</f>
        <v>49.565217391304344</v>
      </c>
      <c r="H24" s="15">
        <f>H$22*'Rates (2)'!H24</f>
        <v>94.594594594594597</v>
      </c>
      <c r="I24" s="15">
        <f>I$22*'Rates (2)'!I24</f>
        <v>143.0874556289115</v>
      </c>
      <c r="J24" s="15">
        <f>J$22*'Rates (2)'!J24</f>
        <v>195.29411764705881</v>
      </c>
      <c r="K24" s="15">
        <f>K$22*'Rates (2)'!K24</f>
        <v>50</v>
      </c>
      <c r="L24" s="15">
        <f>L$22*'Rates (2)'!L24</f>
        <v>123.01587301587303</v>
      </c>
      <c r="M24" s="15">
        <f>M$22*'Rates (2)'!M24</f>
        <v>200</v>
      </c>
      <c r="N24" s="15">
        <f>N$22*'Rates (2)'!N24</f>
        <v>29.076923076923077</v>
      </c>
      <c r="O24" s="15">
        <f>O$22*'Rates (2)'!O24</f>
        <v>73.192771084337366</v>
      </c>
      <c r="P24" s="15">
        <f>P$22*'Rates (2)'!P24</f>
        <v>118.71657754010695</v>
      </c>
      <c r="Q24" s="15">
        <f>Q$2*'Rates (2)'!Q24</f>
        <v>90.440000000000012</v>
      </c>
      <c r="R24" s="15">
        <f>R$2*'Rates (2)'!R24</f>
        <v>209.30399999999997</v>
      </c>
      <c r="S24" s="15">
        <f>S$2*'Rates (2)'!S24</f>
        <v>344.28000000000003</v>
      </c>
    </row>
    <row r="25" spans="1:19" x14ac:dyDescent="0.25">
      <c r="A25" s="3">
        <v>2053</v>
      </c>
      <c r="B25" s="15">
        <f>B$22*'Rates (2)'!B25</f>
        <v>85.679012345678998</v>
      </c>
      <c r="C25" s="15">
        <f>C$22*'Rates (2)'!C25</f>
        <v>194.99999999999994</v>
      </c>
      <c r="D25" s="15">
        <f>D$22*'Rates (2)'!D25</f>
        <v>300</v>
      </c>
      <c r="E25" s="15">
        <f>E$22*'Rates (2)'!E25</f>
        <v>4.5000000000000009</v>
      </c>
      <c r="F25" s="15">
        <f>F$22*'Rates (2)'!F25</f>
        <v>26.19736842105263</v>
      </c>
      <c r="G25" s="15">
        <f>G$22*'Rates (2)'!G25</f>
        <v>49.347826086956523</v>
      </c>
      <c r="H25" s="15">
        <f>H$22*'Rates (2)'!H25</f>
        <v>91.891891891891902</v>
      </c>
      <c r="I25" s="15">
        <f>I$22*'Rates (2)'!I25</f>
        <v>141.20472594958372</v>
      </c>
      <c r="J25" s="15">
        <f>J$22*'Rates (2)'!J25</f>
        <v>192.94117647058823</v>
      </c>
      <c r="K25" s="15">
        <f>K$22*'Rates (2)'!K25</f>
        <v>50</v>
      </c>
      <c r="L25" s="15">
        <f>L$22*'Rates (2)'!L25</f>
        <v>121.6931216931217</v>
      </c>
      <c r="M25" s="15">
        <f>M$22*'Rates (2)'!M25</f>
        <v>200</v>
      </c>
      <c r="N25" s="15">
        <f>N$22*'Rates (2)'!N25</f>
        <v>28.615384615384613</v>
      </c>
      <c r="O25" s="15">
        <f>O$22*'Rates (2)'!O25</f>
        <v>72.740963855421697</v>
      </c>
      <c r="P25" s="15">
        <f>P$22*'Rates (2)'!P25</f>
        <v>118.07486631016042</v>
      </c>
      <c r="Q25" s="15">
        <f>Q$2*'Rates (2)'!Q25</f>
        <v>89.11</v>
      </c>
      <c r="R25" s="15">
        <f>R$2*'Rates (2)'!R25</f>
        <v>208.791</v>
      </c>
      <c r="S25" s="15">
        <f>S$2*'Rates (2)'!S25</f>
        <v>343.52</v>
      </c>
    </row>
    <row r="26" spans="1:19" x14ac:dyDescent="0.25">
      <c r="A26" s="3">
        <v>2054</v>
      </c>
      <c r="B26" s="15">
        <f>B$22*'Rates (2)'!B26</f>
        <v>81.481481481481481</v>
      </c>
      <c r="C26" s="15">
        <f>C$22*'Rates (2)'!C26</f>
        <v>193.99999999999994</v>
      </c>
      <c r="D26" s="15">
        <f>D$22*'Rates (2)'!D26</f>
        <v>300</v>
      </c>
      <c r="E26" s="15">
        <f>E$22*'Rates (2)'!E26</f>
        <v>4.3333333333333339</v>
      </c>
      <c r="F26" s="15">
        <f>F$22*'Rates (2)'!F26</f>
        <v>25.763157894736839</v>
      </c>
      <c r="G26" s="15">
        <f>G$22*'Rates (2)'!G26</f>
        <v>49.130434782608695</v>
      </c>
      <c r="H26" s="15">
        <f>H$22*'Rates (2)'!H26</f>
        <v>89.189189189189193</v>
      </c>
      <c r="I26" s="15">
        <f>I$22*'Rates (2)'!I26</f>
        <v>139.32199627025594</v>
      </c>
      <c r="J26" s="15">
        <f>J$22*'Rates (2)'!J26</f>
        <v>190.58823529411765</v>
      </c>
      <c r="K26" s="15">
        <f>K$22*'Rates (2)'!K26</f>
        <v>50</v>
      </c>
      <c r="L26" s="15">
        <f>L$22*'Rates (2)'!L26</f>
        <v>120.37037037037038</v>
      </c>
      <c r="M26" s="15">
        <f>M$22*'Rates (2)'!M26</f>
        <v>200</v>
      </c>
      <c r="N26" s="15">
        <f>N$22*'Rates (2)'!N26</f>
        <v>28.153846153846153</v>
      </c>
      <c r="O26" s="15">
        <f>O$22*'Rates (2)'!O26</f>
        <v>72.289156626506028</v>
      </c>
      <c r="P26" s="15">
        <f>P$22*'Rates (2)'!P26</f>
        <v>117.43315508021391</v>
      </c>
      <c r="Q26" s="15">
        <f>Q$2*'Rates (2)'!Q26</f>
        <v>87.78</v>
      </c>
      <c r="R26" s="15">
        <f>R$2*'Rates (2)'!R26</f>
        <v>208.27800000000002</v>
      </c>
      <c r="S26" s="15">
        <f>S$2*'Rates (2)'!S26</f>
        <v>342.76</v>
      </c>
    </row>
    <row r="27" spans="1:19" x14ac:dyDescent="0.25">
      <c r="A27" s="3">
        <v>2055</v>
      </c>
      <c r="B27" s="15">
        <f>B$22*'Rates (2)'!B27</f>
        <v>79.012345679012341</v>
      </c>
      <c r="C27" s="15">
        <f>C$22*'Rates (2)'!C27</f>
        <v>193.33333333333329</v>
      </c>
      <c r="D27" s="15">
        <f>D$22*'Rates (2)'!D27</f>
        <v>300</v>
      </c>
      <c r="E27" s="15">
        <f>E$22*'Rates (2)'!E27</f>
        <v>4.166666666666667</v>
      </c>
      <c r="F27" s="15">
        <f>F$22*'Rates (2)'!F27</f>
        <v>25.328947368421058</v>
      </c>
      <c r="G27" s="15">
        <f>G$22*'Rates (2)'!G27</f>
        <v>48.913043478260875</v>
      </c>
      <c r="H27" s="15">
        <f>H$22*'Rates (2)'!H27</f>
        <v>87.837837837837839</v>
      </c>
      <c r="I27" s="15">
        <f>I$22*'Rates (2)'!I27</f>
        <v>137.43926659092813</v>
      </c>
      <c r="J27" s="15">
        <f>J$22*'Rates (2)'!J27</f>
        <v>188.23529411764707</v>
      </c>
      <c r="K27" s="15">
        <f>K$22*'Rates (2)'!K27</f>
        <v>50</v>
      </c>
      <c r="L27" s="15">
        <f>L$22*'Rates (2)'!L27</f>
        <v>119.04761904761905</v>
      </c>
      <c r="M27" s="15">
        <f>M$22*'Rates (2)'!M27</f>
        <v>199.57219251336898</v>
      </c>
      <c r="N27" s="15">
        <f>N$22*'Rates (2)'!N27</f>
        <v>27.69230769230769</v>
      </c>
      <c r="O27" s="15">
        <f>O$22*'Rates (2)'!O27</f>
        <v>71.385542168674704</v>
      </c>
      <c r="P27" s="15">
        <f>P$22*'Rates (2)'!P27</f>
        <v>116.79144385026738</v>
      </c>
      <c r="Q27" s="15">
        <f>Q$2*'Rates (2)'!Q27</f>
        <v>86.45</v>
      </c>
      <c r="R27" s="15">
        <f>R$2*'Rates (2)'!R27</f>
        <v>207.76500000000001</v>
      </c>
      <c r="S27" s="15">
        <f>S$2*'Rates (2)'!S27</f>
        <v>342</v>
      </c>
    </row>
    <row r="28" spans="1:19" x14ac:dyDescent="0.25">
      <c r="A28" s="3">
        <v>2056</v>
      </c>
      <c r="B28" s="15">
        <f>B$22*'Rates (2)'!B28</f>
        <v>77.777777777777771</v>
      </c>
      <c r="C28" s="15">
        <f>C$22*'Rates (2)'!C28</f>
        <v>191.66666666666663</v>
      </c>
      <c r="D28" s="15">
        <f>D$22*'Rates (2)'!D28</f>
        <v>300</v>
      </c>
      <c r="E28" s="15">
        <f>E$22*'Rates (2)'!E28</f>
        <v>4.166666666666667</v>
      </c>
      <c r="F28" s="15">
        <f>F$22*'Rates (2)'!F28</f>
        <v>25.328947368421058</v>
      </c>
      <c r="G28" s="15">
        <f>G$22*'Rates (2)'!G28</f>
        <v>48.913043478260875</v>
      </c>
      <c r="H28" s="15">
        <f>H$22*'Rates (2)'!H28</f>
        <v>87.567567567567579</v>
      </c>
      <c r="I28" s="15">
        <f>I$22*'Rates (2)'!I28</f>
        <v>137.06272065506258</v>
      </c>
      <c r="J28" s="15">
        <f>J$22*'Rates (2)'!J28</f>
        <v>188.23529411764707</v>
      </c>
      <c r="K28" s="15">
        <f>K$22*'Rates (2)'!K28</f>
        <v>50</v>
      </c>
      <c r="L28" s="15">
        <f>L$22*'Rates (2)'!L28</f>
        <v>119.04761904761905</v>
      </c>
      <c r="M28" s="15">
        <f>M$22*'Rates (2)'!M28</f>
        <v>199.57219251336898</v>
      </c>
      <c r="N28" s="15">
        <f>N$22*'Rates (2)'!N28</f>
        <v>27.230769230769226</v>
      </c>
      <c r="O28" s="15">
        <f>O$22*'Rates (2)'!O28</f>
        <v>70.481927710843379</v>
      </c>
      <c r="P28" s="15">
        <f>P$22*'Rates (2)'!P28</f>
        <v>116.53475935828877</v>
      </c>
      <c r="Q28" s="15">
        <f>Q$2*'Rates (2)'!Q28</f>
        <v>85.12</v>
      </c>
      <c r="R28" s="15">
        <f>R$2*'Rates (2)'!R28</f>
        <v>207.50850000000003</v>
      </c>
      <c r="S28" s="15">
        <f>S$2*'Rates (2)'!S28</f>
        <v>342</v>
      </c>
    </row>
    <row r="29" spans="1:19" x14ac:dyDescent="0.25">
      <c r="A29" s="3">
        <v>2057</v>
      </c>
      <c r="B29" s="15">
        <f>B$22*'Rates (2)'!B29</f>
        <v>76.543209876543202</v>
      </c>
      <c r="C29" s="15">
        <f>C$22*'Rates (2)'!C29</f>
        <v>189.99999999999994</v>
      </c>
      <c r="D29" s="15">
        <f>D$22*'Rates (2)'!D29</f>
        <v>300</v>
      </c>
      <c r="E29" s="15">
        <f>E$22*'Rates (2)'!E29</f>
        <v>4.166666666666667</v>
      </c>
      <c r="F29" s="15">
        <f>F$22*'Rates (2)'!F29</f>
        <v>25.328947368421058</v>
      </c>
      <c r="G29" s="15">
        <f>G$22*'Rates (2)'!G29</f>
        <v>48.913043478260875</v>
      </c>
      <c r="H29" s="15">
        <f>H$22*'Rates (2)'!H29</f>
        <v>87.297297297297305</v>
      </c>
      <c r="I29" s="15">
        <f>I$22*'Rates (2)'!I29</f>
        <v>136.68617471919703</v>
      </c>
      <c r="J29" s="15">
        <f>J$22*'Rates (2)'!J29</f>
        <v>188.23529411764707</v>
      </c>
      <c r="K29" s="15">
        <f>K$22*'Rates (2)'!K29</f>
        <v>50</v>
      </c>
      <c r="L29" s="15">
        <f>L$22*'Rates (2)'!L29</f>
        <v>119.04761904761905</v>
      </c>
      <c r="M29" s="15">
        <f>M$22*'Rates (2)'!M29</f>
        <v>199.57219251336898</v>
      </c>
      <c r="N29" s="15">
        <f>N$22*'Rates (2)'!N29</f>
        <v>26.769230769230766</v>
      </c>
      <c r="O29" s="15">
        <f>O$22*'Rates (2)'!O29</f>
        <v>70.03012048192771</v>
      </c>
      <c r="P29" s="15">
        <f>P$22*'Rates (2)'!P29</f>
        <v>116.27807486631016</v>
      </c>
      <c r="Q29" s="15">
        <f>Q$2*'Rates (2)'!Q29</f>
        <v>83.79</v>
      </c>
      <c r="R29" s="15">
        <f>R$2*'Rates (2)'!R29</f>
        <v>207.25200000000001</v>
      </c>
      <c r="S29" s="15">
        <f>S$2*'Rates (2)'!S29</f>
        <v>342</v>
      </c>
    </row>
    <row r="30" spans="1:19" x14ac:dyDescent="0.25">
      <c r="A30" s="3">
        <v>2058</v>
      </c>
      <c r="B30" s="15">
        <f>B$22*'Rates (2)'!B30</f>
        <v>75.308641975308632</v>
      </c>
      <c r="C30" s="15">
        <f>C$22*'Rates (2)'!C30</f>
        <v>188.33333333333329</v>
      </c>
      <c r="D30" s="15">
        <f>D$22*'Rates (2)'!D30</f>
        <v>300</v>
      </c>
      <c r="E30" s="15">
        <f>E$22*'Rates (2)'!E30</f>
        <v>4.166666666666667</v>
      </c>
      <c r="F30" s="15">
        <f>F$22*'Rates (2)'!F30</f>
        <v>25.328947368421058</v>
      </c>
      <c r="G30" s="15">
        <f>G$22*'Rates (2)'!G30</f>
        <v>48.913043478260875</v>
      </c>
      <c r="H30" s="15">
        <f>H$22*'Rates (2)'!H30</f>
        <v>87.027027027027032</v>
      </c>
      <c r="I30" s="15">
        <f>I$22*'Rates (2)'!I30</f>
        <v>136.30962878333148</v>
      </c>
      <c r="J30" s="15">
        <f>J$22*'Rates (2)'!J30</f>
        <v>188.23529411764707</v>
      </c>
      <c r="K30" s="15">
        <f>K$22*'Rates (2)'!K30</f>
        <v>50</v>
      </c>
      <c r="L30" s="15">
        <f>L$22*'Rates (2)'!L30</f>
        <v>119.04761904761905</v>
      </c>
      <c r="M30" s="15">
        <f>M$22*'Rates (2)'!M30</f>
        <v>199.57219251336898</v>
      </c>
      <c r="N30" s="15">
        <f>N$22*'Rates (2)'!N30</f>
        <v>26.307692307692303</v>
      </c>
      <c r="O30" s="15">
        <f>O$22*'Rates (2)'!O30</f>
        <v>69.578313253012055</v>
      </c>
      <c r="P30" s="15">
        <f>P$22*'Rates (2)'!P30</f>
        <v>116.02139037433155</v>
      </c>
      <c r="Q30" s="15">
        <f>Q$2*'Rates (2)'!Q30</f>
        <v>82.46</v>
      </c>
      <c r="R30" s="15">
        <f>R$2*'Rates (2)'!R30</f>
        <v>206.99550000000002</v>
      </c>
      <c r="S30" s="15">
        <f>S$2*'Rates (2)'!S30</f>
        <v>342</v>
      </c>
    </row>
    <row r="31" spans="1:19" x14ac:dyDescent="0.25">
      <c r="A31" s="3">
        <v>2059</v>
      </c>
      <c r="B31" s="15">
        <f>B$22*'Rates (2)'!B31</f>
        <v>74.567901234567884</v>
      </c>
      <c r="C31" s="15">
        <f>C$22*'Rates (2)'!C31</f>
        <v>187.33333333333334</v>
      </c>
      <c r="D31" s="15">
        <f>D$22*'Rates (2)'!D31</f>
        <v>300</v>
      </c>
      <c r="E31" s="15">
        <f>E$22*'Rates (2)'!E31</f>
        <v>4.166666666666667</v>
      </c>
      <c r="F31" s="15">
        <f>F$22*'Rates (2)'!F31</f>
        <v>25.328947368421058</v>
      </c>
      <c r="G31" s="15">
        <f>G$22*'Rates (2)'!G31</f>
        <v>48.913043478260875</v>
      </c>
      <c r="H31" s="15">
        <f>H$22*'Rates (2)'!H31</f>
        <v>86.756756756756758</v>
      </c>
      <c r="I31" s="15">
        <f>I$22*'Rates (2)'!I31</f>
        <v>135.9330828474659</v>
      </c>
      <c r="J31" s="15">
        <f>J$22*'Rates (2)'!J31</f>
        <v>188.23529411764707</v>
      </c>
      <c r="K31" s="15">
        <f>K$22*'Rates (2)'!K31</f>
        <v>50</v>
      </c>
      <c r="L31" s="15">
        <f>L$22*'Rates (2)'!L31</f>
        <v>119.04761904761905</v>
      </c>
      <c r="M31" s="15">
        <f>M$22*'Rates (2)'!M31</f>
        <v>199.57219251336898</v>
      </c>
      <c r="N31" s="15">
        <f>N$22*'Rates (2)'!N31</f>
        <v>25.846153846153847</v>
      </c>
      <c r="O31" s="15">
        <f>O$22*'Rates (2)'!O31</f>
        <v>69.126506024096386</v>
      </c>
      <c r="P31" s="15">
        <f>P$22*'Rates (2)'!P31</f>
        <v>115.76470588235294</v>
      </c>
      <c r="Q31" s="15">
        <f>Q$2*'Rates (2)'!Q31</f>
        <v>81.13</v>
      </c>
      <c r="R31" s="15">
        <f>R$2*'Rates (2)'!R31</f>
        <v>206.739</v>
      </c>
      <c r="S31" s="15">
        <f>S$2*'Rates (2)'!S31</f>
        <v>342</v>
      </c>
    </row>
    <row r="32" spans="1:19" x14ac:dyDescent="0.25">
      <c r="A32" s="3">
        <v>2060</v>
      </c>
      <c r="B32" s="15">
        <f>B$22*'Rates (2)'!B32</f>
        <v>74.074074074074076</v>
      </c>
      <c r="C32" s="15">
        <f>C$22*'Rates (2)'!C32</f>
        <v>186.66666666666666</v>
      </c>
      <c r="D32" s="15">
        <f>D$22*'Rates (2)'!D32</f>
        <v>300</v>
      </c>
      <c r="E32" s="15">
        <f>E$22*'Rates (2)'!E32</f>
        <v>4.166666666666667</v>
      </c>
      <c r="F32" s="15">
        <f>F$22*'Rates (2)'!F32</f>
        <v>25.328947368421058</v>
      </c>
      <c r="G32" s="15">
        <f>G$22*'Rates (2)'!G32</f>
        <v>48.913043478260875</v>
      </c>
      <c r="H32" s="15">
        <f>H$22*'Rates (2)'!H32</f>
        <v>86.486486486486484</v>
      </c>
      <c r="I32" s="15">
        <f>I$22*'Rates (2)'!I32</f>
        <v>135.55653691160035</v>
      </c>
      <c r="J32" s="15">
        <f>J$22*'Rates (2)'!J32</f>
        <v>188.23529411764707</v>
      </c>
      <c r="K32" s="15">
        <f>K$22*'Rates (2)'!K32</f>
        <v>50</v>
      </c>
      <c r="L32" s="15">
        <f>L$22*'Rates (2)'!L32</f>
        <v>119.04761904761905</v>
      </c>
      <c r="M32" s="15">
        <f>M$22*'Rates (2)'!M32</f>
        <v>199.35828877005349</v>
      </c>
      <c r="N32" s="15">
        <f>N$22*'Rates (2)'!N32</f>
        <v>25.384615384615383</v>
      </c>
      <c r="O32" s="15">
        <f>O$22*'Rates (2)'!O32</f>
        <v>68.674698795180731</v>
      </c>
      <c r="P32" s="15">
        <f>P$22*'Rates (2)'!P32</f>
        <v>115.50802139037432</v>
      </c>
      <c r="Q32" s="15">
        <f>Q$2*'Rates (2)'!Q32</f>
        <v>79.8</v>
      </c>
      <c r="R32" s="15">
        <f>R$2*'Rates (2)'!R32</f>
        <v>206.48250000000002</v>
      </c>
      <c r="S32" s="15">
        <f>S$2*'Rates (2)'!S32</f>
        <v>342</v>
      </c>
    </row>
    <row r="33" spans="1:19" x14ac:dyDescent="0.25">
      <c r="A33" s="3">
        <v>2061</v>
      </c>
      <c r="B33" s="15">
        <f>B$22*'Rates (2)'!B33</f>
        <v>73.58024691358024</v>
      </c>
      <c r="C33" s="15">
        <f>C$22*'Rates (2)'!C33</f>
        <v>186</v>
      </c>
      <c r="D33" s="15">
        <f>D$22*'Rates (2)'!D33</f>
        <v>300</v>
      </c>
      <c r="E33" s="15">
        <f>E$22*'Rates (2)'!E33</f>
        <v>4.166666666666667</v>
      </c>
      <c r="F33" s="15">
        <f>F$22*'Rates (2)'!F33</f>
        <v>25.328947368421058</v>
      </c>
      <c r="G33" s="15">
        <f>G$22*'Rates (2)'!G33</f>
        <v>48.913043478260875</v>
      </c>
      <c r="H33" s="15">
        <f>H$22*'Rates (2)'!H33</f>
        <v>85.810810810810807</v>
      </c>
      <c r="I33" s="15">
        <f>I$22*'Rates (2)'!I33</f>
        <v>135.1799909757348</v>
      </c>
      <c r="J33" s="15">
        <f>J$22*'Rates (2)'!J33</f>
        <v>188.23529411764707</v>
      </c>
      <c r="K33" s="15">
        <f>K$22*'Rates (2)'!K33</f>
        <v>50</v>
      </c>
      <c r="L33" s="15">
        <f>L$22*'Rates (2)'!L33</f>
        <v>119.04761904761905</v>
      </c>
      <c r="M33" s="15">
        <f>M$22*'Rates (2)'!M33</f>
        <v>199.35828877005349</v>
      </c>
      <c r="N33" s="15">
        <f>N$22*'Rates (2)'!N33</f>
        <v>24.923076923076923</v>
      </c>
      <c r="O33" s="15">
        <f>O$22*'Rates (2)'!O33</f>
        <v>68.493975903614469</v>
      </c>
      <c r="P33" s="15">
        <f>P$22*'Rates (2)'!P33</f>
        <v>115.50802139037432</v>
      </c>
      <c r="Q33" s="15">
        <f>Q$2*'Rates (2)'!Q33</f>
        <v>78.47</v>
      </c>
      <c r="R33" s="15">
        <f>R$2*'Rates (2)'!R33</f>
        <v>206.226</v>
      </c>
      <c r="S33" s="15">
        <f>S$2*'Rates (2)'!S33</f>
        <v>342</v>
      </c>
    </row>
    <row r="34" spans="1:19" x14ac:dyDescent="0.25">
      <c r="A34" s="3">
        <v>2062</v>
      </c>
      <c r="B34" s="15">
        <f>B$22*'Rates (2)'!B34</f>
        <v>73.086419753086403</v>
      </c>
      <c r="C34" s="15">
        <f>C$22*'Rates (2)'!C34</f>
        <v>185.33333333333331</v>
      </c>
      <c r="D34" s="15">
        <f>D$22*'Rates (2)'!D34</f>
        <v>300</v>
      </c>
      <c r="E34" s="15">
        <f>E$22*'Rates (2)'!E34</f>
        <v>4.166666666666667</v>
      </c>
      <c r="F34" s="15">
        <f>F$22*'Rates (2)'!F34</f>
        <v>25.328947368421058</v>
      </c>
      <c r="G34" s="15">
        <f>G$22*'Rates (2)'!G34</f>
        <v>48.913043478260875</v>
      </c>
      <c r="H34" s="15">
        <f>H$22*'Rates (2)'!H34</f>
        <v>85.13513513513513</v>
      </c>
      <c r="I34" s="15">
        <f>I$22*'Rates (2)'!I34</f>
        <v>134.80344503986925</v>
      </c>
      <c r="J34" s="15">
        <f>J$22*'Rates (2)'!J34</f>
        <v>188.23529411764707</v>
      </c>
      <c r="K34" s="15">
        <f>K$22*'Rates (2)'!K34</f>
        <v>50</v>
      </c>
      <c r="L34" s="15">
        <f>L$22*'Rates (2)'!L34</f>
        <v>119.04761904761905</v>
      </c>
      <c r="M34" s="15">
        <f>M$22*'Rates (2)'!M34</f>
        <v>199.35828877005349</v>
      </c>
      <c r="N34" s="15">
        <f>N$22*'Rates (2)'!N34</f>
        <v>24.46153846153846</v>
      </c>
      <c r="O34" s="15">
        <f>O$22*'Rates (2)'!O34</f>
        <v>68.313253012048193</v>
      </c>
      <c r="P34" s="15">
        <f>P$22*'Rates (2)'!P34</f>
        <v>115.50802139037432</v>
      </c>
      <c r="Q34" s="15">
        <f>Q$2*'Rates (2)'!Q34</f>
        <v>77.14</v>
      </c>
      <c r="R34" s="15">
        <f>R$2*'Rates (2)'!R34</f>
        <v>206.09774999999999</v>
      </c>
      <c r="S34" s="15">
        <f>S$2*'Rates (2)'!S34</f>
        <v>342</v>
      </c>
    </row>
    <row r="35" spans="1:19" x14ac:dyDescent="0.25">
      <c r="A35" s="3">
        <v>2063</v>
      </c>
      <c r="B35" s="15">
        <f>B$22*'Rates (2)'!B35</f>
        <v>72.592592592592581</v>
      </c>
      <c r="C35" s="15">
        <f>C$22*'Rates (2)'!C35</f>
        <v>184.66666666666666</v>
      </c>
      <c r="D35" s="15">
        <f>D$22*'Rates (2)'!D35</f>
        <v>300</v>
      </c>
      <c r="E35" s="15">
        <f>E$22*'Rates (2)'!E35</f>
        <v>4.166666666666667</v>
      </c>
      <c r="F35" s="15">
        <f>F$22*'Rates (2)'!F35</f>
        <v>25.328947368421058</v>
      </c>
      <c r="G35" s="15">
        <f>G$22*'Rates (2)'!G35</f>
        <v>48.913043478260875</v>
      </c>
      <c r="H35" s="15">
        <f>H$22*'Rates (2)'!H35</f>
        <v>84.459459459459467</v>
      </c>
      <c r="I35" s="15">
        <f>I$22*'Rates (2)'!I35</f>
        <v>134.42689910400367</v>
      </c>
      <c r="J35" s="15">
        <f>J$22*'Rates (2)'!J35</f>
        <v>188.23529411764707</v>
      </c>
      <c r="K35" s="15">
        <f>K$22*'Rates (2)'!K35</f>
        <v>50</v>
      </c>
      <c r="L35" s="15">
        <f>L$22*'Rates (2)'!L35</f>
        <v>119.04761904761905</v>
      </c>
      <c r="M35" s="15">
        <f>M$22*'Rates (2)'!M35</f>
        <v>199.35828877005349</v>
      </c>
      <c r="N35" s="15">
        <f>N$22*'Rates (2)'!N35</f>
        <v>24</v>
      </c>
      <c r="O35" s="15">
        <f>O$22*'Rates (2)'!O35</f>
        <v>68.132530120481931</v>
      </c>
      <c r="P35" s="15">
        <f>P$22*'Rates (2)'!P35</f>
        <v>115.50802139037432</v>
      </c>
      <c r="Q35" s="15">
        <f>Q$2*'Rates (2)'!Q35</f>
        <v>75.809999999999988</v>
      </c>
      <c r="R35" s="15">
        <f>R$2*'Rates (2)'!R35</f>
        <v>205.96950000000001</v>
      </c>
      <c r="S35" s="15">
        <f>S$2*'Rates (2)'!S35</f>
        <v>342</v>
      </c>
    </row>
    <row r="36" spans="1:19" x14ac:dyDescent="0.25">
      <c r="A36" s="3">
        <v>2064</v>
      </c>
      <c r="B36" s="15">
        <f>B$22*'Rates (2)'!B36</f>
        <v>72.098765432098759</v>
      </c>
      <c r="C36" s="15">
        <f>C$22*'Rates (2)'!C36</f>
        <v>184</v>
      </c>
      <c r="D36" s="15">
        <f>D$22*'Rates (2)'!D36</f>
        <v>300</v>
      </c>
      <c r="E36" s="15">
        <f>E$22*'Rates (2)'!E36</f>
        <v>4.166666666666667</v>
      </c>
      <c r="F36" s="15">
        <f>F$22*'Rates (2)'!F36</f>
        <v>25.328947368421058</v>
      </c>
      <c r="G36" s="15">
        <f>G$22*'Rates (2)'!G36</f>
        <v>48.913043478260875</v>
      </c>
      <c r="H36" s="15">
        <f>H$22*'Rates (2)'!H36</f>
        <v>84.054054054054049</v>
      </c>
      <c r="I36" s="15">
        <f>I$22*'Rates (2)'!I36</f>
        <v>134.05035316813812</v>
      </c>
      <c r="J36" s="15">
        <f>J$22*'Rates (2)'!J36</f>
        <v>188.23529411764707</v>
      </c>
      <c r="K36" s="15">
        <f>K$22*'Rates (2)'!K36</f>
        <v>50</v>
      </c>
      <c r="L36" s="15">
        <f>L$22*'Rates (2)'!L36</f>
        <v>119.04761904761905</v>
      </c>
      <c r="M36" s="15">
        <f>M$22*'Rates (2)'!M36</f>
        <v>199.35828877005349</v>
      </c>
      <c r="N36" s="15">
        <f>N$22*'Rates (2)'!N36</f>
        <v>23.538461538461537</v>
      </c>
      <c r="O36" s="15">
        <f>O$22*'Rates (2)'!O36</f>
        <v>67.951807228915669</v>
      </c>
      <c r="P36" s="15">
        <f>P$22*'Rates (2)'!P36</f>
        <v>115.50802139037432</v>
      </c>
      <c r="Q36" s="15">
        <f>Q$2*'Rates (2)'!Q36</f>
        <v>74.48</v>
      </c>
      <c r="R36" s="15">
        <f>R$2*'Rates (2)'!R36</f>
        <v>205.84125</v>
      </c>
      <c r="S36" s="15">
        <f>S$2*'Rates (2)'!S36</f>
        <v>342</v>
      </c>
    </row>
    <row r="37" spans="1:19" x14ac:dyDescent="0.25">
      <c r="A37" s="3">
        <v>2065</v>
      </c>
      <c r="B37" s="15">
        <f>B$22*'Rates (2)'!B37</f>
        <v>71.604938271604922</v>
      </c>
      <c r="C37" s="15">
        <f>C$22*'Rates (2)'!C37</f>
        <v>183.33333333333331</v>
      </c>
      <c r="D37" s="15">
        <f>D$22*'Rates (2)'!D37</f>
        <v>300</v>
      </c>
      <c r="E37" s="15">
        <f>E$22*'Rates (2)'!E37</f>
        <v>4.166666666666667</v>
      </c>
      <c r="F37" s="15">
        <f>F$22*'Rates (2)'!F37</f>
        <v>25.328947368421058</v>
      </c>
      <c r="G37" s="15">
        <f>G$22*'Rates (2)'!G37</f>
        <v>48.913043478260875</v>
      </c>
      <c r="H37" s="15">
        <f>H$22*'Rates (2)'!H37</f>
        <v>83.78378378378379</v>
      </c>
      <c r="I37" s="15">
        <f>I$22*'Rates (2)'!I37</f>
        <v>133.67380723227257</v>
      </c>
      <c r="J37" s="15">
        <f>J$22*'Rates (2)'!J37</f>
        <v>188.23529411764707</v>
      </c>
      <c r="K37" s="15">
        <f>K$22*'Rates (2)'!K37</f>
        <v>50</v>
      </c>
      <c r="L37" s="15">
        <f>L$22*'Rates (2)'!L37</f>
        <v>119.04761904761905</v>
      </c>
      <c r="M37" s="15">
        <f>M$22*'Rates (2)'!M37</f>
        <v>199.14438502673798</v>
      </c>
      <c r="N37" s="15">
        <f>N$22*'Rates (2)'!N37</f>
        <v>23.076923076923073</v>
      </c>
      <c r="O37" s="15">
        <f>O$22*'Rates (2)'!O37</f>
        <v>67.771084337349393</v>
      </c>
      <c r="P37" s="15">
        <f>P$22*'Rates (2)'!P37</f>
        <v>115.50802139037432</v>
      </c>
      <c r="Q37" s="15">
        <f>Q$2*'Rates (2)'!Q37</f>
        <v>73.150000000000006</v>
      </c>
      <c r="R37" s="15">
        <f>R$2*'Rates (2)'!R37</f>
        <v>205.71300000000002</v>
      </c>
      <c r="S37" s="15">
        <f>S$2*'Rates (2)'!S37</f>
        <v>342</v>
      </c>
    </row>
    <row r="38" spans="1:19" x14ac:dyDescent="0.25">
      <c r="A38" s="3">
        <v>2066</v>
      </c>
      <c r="B38" s="15">
        <f>B$22*'Rates (2)'!B38</f>
        <v>71.1111111111111</v>
      </c>
      <c r="C38" s="15">
        <f>C$22*'Rates (2)'!C38</f>
        <v>183.33333333333331</v>
      </c>
      <c r="D38" s="15">
        <f>D$22*'Rates (2)'!D38</f>
        <v>300</v>
      </c>
      <c r="E38" s="15">
        <f>E$22*'Rates (2)'!E38</f>
        <v>4.166666666666667</v>
      </c>
      <c r="F38" s="15">
        <f>F$22*'Rates (2)'!F38</f>
        <v>25.328947368421058</v>
      </c>
      <c r="G38" s="15">
        <f>G$22*'Rates (2)'!G38</f>
        <v>48.913043478260875</v>
      </c>
      <c r="H38" s="15">
        <f>H$22*'Rates (2)'!H38</f>
        <v>83.513513513513516</v>
      </c>
      <c r="I38" s="15">
        <f>I$22*'Rates (2)'!I38</f>
        <v>133.67380723227257</v>
      </c>
      <c r="J38" s="15">
        <f>J$22*'Rates (2)'!J38</f>
        <v>188.23529411764707</v>
      </c>
      <c r="K38" s="15">
        <f>K$22*'Rates (2)'!K38</f>
        <v>50</v>
      </c>
      <c r="L38" s="15">
        <f>L$22*'Rates (2)'!L38</f>
        <v>118.7830687830688</v>
      </c>
      <c r="M38" s="15">
        <f>M$22*'Rates (2)'!M38</f>
        <v>199.14438502673798</v>
      </c>
      <c r="N38" s="15">
        <f>N$22*'Rates (2)'!N38</f>
        <v>23.076923076923073</v>
      </c>
      <c r="O38" s="15">
        <f>O$22*'Rates (2)'!O38</f>
        <v>67.771084337349393</v>
      </c>
      <c r="P38" s="15">
        <f>P$22*'Rates (2)'!P38</f>
        <v>115.50802139037432</v>
      </c>
      <c r="Q38" s="15">
        <f>Q$2*'Rates (2)'!Q38</f>
        <v>71.820000000000007</v>
      </c>
      <c r="R38" s="15">
        <f>R$2*'Rates (2)'!R38</f>
        <v>205.6617</v>
      </c>
      <c r="S38" s="15">
        <f>S$2*'Rates (2)'!S38</f>
        <v>342</v>
      </c>
    </row>
    <row r="39" spans="1:19" x14ac:dyDescent="0.25">
      <c r="A39" s="3">
        <v>2067</v>
      </c>
      <c r="B39" s="15">
        <f>B$22*'Rates (2)'!B39</f>
        <v>70.617283950617278</v>
      </c>
      <c r="C39" s="15">
        <f>C$22*'Rates (2)'!C39</f>
        <v>183.33333333333331</v>
      </c>
      <c r="D39" s="15">
        <f>D$22*'Rates (2)'!D39</f>
        <v>300</v>
      </c>
      <c r="E39" s="15">
        <f>E$22*'Rates (2)'!E39</f>
        <v>4.166666666666667</v>
      </c>
      <c r="F39" s="15">
        <f>F$22*'Rates (2)'!F39</f>
        <v>25.328947368421058</v>
      </c>
      <c r="G39" s="15">
        <f>G$22*'Rates (2)'!G39</f>
        <v>48.913043478260875</v>
      </c>
      <c r="H39" s="15">
        <f>H$22*'Rates (2)'!H39</f>
        <v>83.243243243243242</v>
      </c>
      <c r="I39" s="15">
        <f>I$22*'Rates (2)'!I39</f>
        <v>133.67380723227257</v>
      </c>
      <c r="J39" s="15">
        <f>J$22*'Rates (2)'!J39</f>
        <v>188.23529411764707</v>
      </c>
      <c r="K39" s="15">
        <f>K$22*'Rates (2)'!K39</f>
        <v>50</v>
      </c>
      <c r="L39" s="15">
        <f>L$22*'Rates (2)'!L39</f>
        <v>118.51851851851852</v>
      </c>
      <c r="M39" s="15">
        <f>M$22*'Rates (2)'!M39</f>
        <v>199.14438502673798</v>
      </c>
      <c r="N39" s="15">
        <f>N$22*'Rates (2)'!N39</f>
        <v>23.076923076923073</v>
      </c>
      <c r="O39" s="15">
        <f>O$22*'Rates (2)'!O39</f>
        <v>67.771084337349393</v>
      </c>
      <c r="P39" s="15">
        <f>P$22*'Rates (2)'!P39</f>
        <v>115.50802139037432</v>
      </c>
      <c r="Q39" s="15">
        <f>Q$2*'Rates (2)'!Q39</f>
        <v>70.490000000000009</v>
      </c>
      <c r="R39" s="15">
        <f>R$2*'Rates (2)'!R39</f>
        <v>205.6104</v>
      </c>
      <c r="S39" s="15">
        <f>S$2*'Rates (2)'!S39</f>
        <v>342</v>
      </c>
    </row>
    <row r="40" spans="1:19" x14ac:dyDescent="0.25">
      <c r="A40" s="3">
        <v>2068</v>
      </c>
      <c r="B40" s="15">
        <f>B$22*'Rates (2)'!B40</f>
        <v>70.123456790123456</v>
      </c>
      <c r="C40" s="15">
        <f>C$22*'Rates (2)'!C40</f>
        <v>183.33333333333331</v>
      </c>
      <c r="D40" s="15">
        <f>D$22*'Rates (2)'!D40</f>
        <v>300</v>
      </c>
      <c r="E40" s="15">
        <f>E$22*'Rates (2)'!E40</f>
        <v>4.166666666666667</v>
      </c>
      <c r="F40" s="15">
        <f>F$22*'Rates (2)'!F40</f>
        <v>25.328947368421058</v>
      </c>
      <c r="G40" s="15">
        <f>G$22*'Rates (2)'!G40</f>
        <v>48.913043478260875</v>
      </c>
      <c r="H40" s="15">
        <f>H$22*'Rates (2)'!H40</f>
        <v>82.972972972972968</v>
      </c>
      <c r="I40" s="15">
        <f>I$22*'Rates (2)'!I40</f>
        <v>133.67380723227257</v>
      </c>
      <c r="J40" s="15">
        <f>J$22*'Rates (2)'!J40</f>
        <v>188.23529411764707</v>
      </c>
      <c r="K40" s="15">
        <f>K$22*'Rates (2)'!K40</f>
        <v>50</v>
      </c>
      <c r="L40" s="15">
        <f>L$22*'Rates (2)'!L40</f>
        <v>118.25396825396827</v>
      </c>
      <c r="M40" s="15">
        <f>M$22*'Rates (2)'!M40</f>
        <v>199.14438502673798</v>
      </c>
      <c r="N40" s="15">
        <f>N$22*'Rates (2)'!N40</f>
        <v>23.076923076923073</v>
      </c>
      <c r="O40" s="15">
        <f>O$22*'Rates (2)'!O40</f>
        <v>67.771084337349393</v>
      </c>
      <c r="P40" s="15">
        <f>P$22*'Rates (2)'!P40</f>
        <v>115.50802139037432</v>
      </c>
      <c r="Q40" s="15">
        <f>Q$2*'Rates (2)'!Q40</f>
        <v>69.16</v>
      </c>
      <c r="R40" s="15">
        <f>R$2*'Rates (2)'!R40</f>
        <v>205.5591</v>
      </c>
      <c r="S40" s="15">
        <f>S$2*'Rates (2)'!S40</f>
        <v>342</v>
      </c>
    </row>
    <row r="41" spans="1:19" x14ac:dyDescent="0.25">
      <c r="A41" s="3">
        <v>2069</v>
      </c>
      <c r="B41" s="15">
        <f>B$22*'Rates (2)'!B41</f>
        <v>69.629629629629619</v>
      </c>
      <c r="C41" s="15">
        <f>C$22*'Rates (2)'!C41</f>
        <v>183.33333333333331</v>
      </c>
      <c r="D41" s="15">
        <f>D$22*'Rates (2)'!D41</f>
        <v>300</v>
      </c>
      <c r="E41" s="15">
        <f>E$22*'Rates (2)'!E41</f>
        <v>4.166666666666667</v>
      </c>
      <c r="F41" s="15">
        <f>F$22*'Rates (2)'!F41</f>
        <v>25.328947368421058</v>
      </c>
      <c r="G41" s="15">
        <f>G$22*'Rates (2)'!G41</f>
        <v>48.913043478260875</v>
      </c>
      <c r="H41" s="15">
        <f>H$22*'Rates (2)'!H41</f>
        <v>82.702702702702709</v>
      </c>
      <c r="I41" s="15">
        <f>I$22*'Rates (2)'!I41</f>
        <v>133.67380723227257</v>
      </c>
      <c r="J41" s="15">
        <f>J$22*'Rates (2)'!J41</f>
        <v>188.23529411764707</v>
      </c>
      <c r="K41" s="15">
        <f>K$22*'Rates (2)'!K41</f>
        <v>50</v>
      </c>
      <c r="L41" s="15">
        <f>L$22*'Rates (2)'!L41</f>
        <v>117.98941798941799</v>
      </c>
      <c r="M41" s="15">
        <f>M$22*'Rates (2)'!M41</f>
        <v>199.14438502673798</v>
      </c>
      <c r="N41" s="15">
        <f>N$22*'Rates (2)'!N41</f>
        <v>23.076923076923073</v>
      </c>
      <c r="O41" s="15">
        <f>O$22*'Rates (2)'!O41</f>
        <v>67.771084337349393</v>
      </c>
      <c r="P41" s="15">
        <f>P$22*'Rates (2)'!P41</f>
        <v>115.50802139037432</v>
      </c>
      <c r="Q41" s="15">
        <f>Q$2*'Rates (2)'!Q41</f>
        <v>67.83</v>
      </c>
      <c r="R41" s="15">
        <f>R$2*'Rates (2)'!R41</f>
        <v>205.5078</v>
      </c>
      <c r="S41" s="15">
        <f>S$2*'Rates (2)'!S41</f>
        <v>342</v>
      </c>
    </row>
    <row r="42" spans="1:19" x14ac:dyDescent="0.25">
      <c r="A42" s="3">
        <v>2070</v>
      </c>
      <c r="B42" s="15">
        <f>B$22*'Rates (2)'!B42</f>
        <v>69.135802469135811</v>
      </c>
      <c r="C42" s="15">
        <f>C$22*'Rates (2)'!C42</f>
        <v>183.33333333333331</v>
      </c>
      <c r="D42" s="15">
        <f>D$22*'Rates (2)'!D42</f>
        <v>300</v>
      </c>
      <c r="E42" s="15">
        <f>E$22*'Rates (2)'!E42</f>
        <v>4.166666666666667</v>
      </c>
      <c r="F42" s="15">
        <f>F$22*'Rates (2)'!F42</f>
        <v>25.328947368421058</v>
      </c>
      <c r="G42" s="15">
        <f>G$22*'Rates (2)'!G42</f>
        <v>48.913043478260875</v>
      </c>
      <c r="H42" s="15">
        <f>H$22*'Rates (2)'!H42</f>
        <v>82.432432432432435</v>
      </c>
      <c r="I42" s="15">
        <f>I$22*'Rates (2)'!I42</f>
        <v>133.67380723227257</v>
      </c>
      <c r="J42" s="15">
        <f>J$22*'Rates (2)'!J42</f>
        <v>188.23529411764707</v>
      </c>
      <c r="K42" s="15">
        <f>K$22*'Rates (2)'!K42</f>
        <v>50</v>
      </c>
      <c r="L42" s="15">
        <f>L$22*'Rates (2)'!L42</f>
        <v>117.72486772486774</v>
      </c>
      <c r="M42" s="15">
        <f>M$22*'Rates (2)'!M42</f>
        <v>198.93048128342247</v>
      </c>
      <c r="N42" s="15">
        <f>N$22*'Rates (2)'!N42</f>
        <v>23.076923076923073</v>
      </c>
      <c r="O42" s="15">
        <f>O$22*'Rates (2)'!O42</f>
        <v>67.771084337349393</v>
      </c>
      <c r="P42" s="15">
        <f>P$22*'Rates (2)'!P42</f>
        <v>115.50802139037432</v>
      </c>
      <c r="Q42" s="15">
        <f>Q$2*'Rates (2)'!Q42</f>
        <v>66.5</v>
      </c>
      <c r="R42" s="15">
        <f>R$2*'Rates (2)'!R42</f>
        <v>205.20000000000002</v>
      </c>
      <c r="S42" s="15">
        <f>S$2*'Rates (2)'!S42</f>
        <v>342</v>
      </c>
    </row>
    <row r="43" spans="1:19" x14ac:dyDescent="0.25">
      <c r="A43" s="3">
        <v>2071</v>
      </c>
      <c r="B43" s="15">
        <f>B$22*'Rates (2)'!B43</f>
        <v>69.135802469135811</v>
      </c>
      <c r="C43" s="15">
        <f>C$22*'Rates (2)'!C43</f>
        <v>183.33333333333331</v>
      </c>
      <c r="D43" s="15">
        <f>D$22*'Rates (2)'!D43</f>
        <v>300</v>
      </c>
      <c r="E43" s="15">
        <f>E$22*'Rates (2)'!E43</f>
        <v>4.166666666666667</v>
      </c>
      <c r="F43" s="15">
        <f>F$22*'Rates (2)'!F43</f>
        <v>25.328947368421058</v>
      </c>
      <c r="G43" s="15">
        <f>G$22*'Rates (2)'!G43</f>
        <v>48.913043478260875</v>
      </c>
      <c r="H43" s="15">
        <f>H$22*'Rates (2)'!H43</f>
        <v>82.162162162162161</v>
      </c>
      <c r="I43" s="15">
        <f>I$22*'Rates (2)'!I43</f>
        <v>133.29726129640702</v>
      </c>
      <c r="J43" s="15">
        <f>J$22*'Rates (2)'!J43</f>
        <v>188.23529411764707</v>
      </c>
      <c r="K43" s="15">
        <f>K$22*'Rates (2)'!K43</f>
        <v>50</v>
      </c>
      <c r="L43" s="15">
        <f>L$22*'Rates (2)'!L43</f>
        <v>117.72486772486774</v>
      </c>
      <c r="M43" s="15">
        <f>M$22*'Rates (2)'!M43</f>
        <v>198.93048128342247</v>
      </c>
      <c r="N43" s="15">
        <f>N$22*'Rates (2)'!N43</f>
        <v>23.076923076923073</v>
      </c>
      <c r="O43" s="15">
        <f>O$22*'Rates (2)'!O43</f>
        <v>67.771084337349393</v>
      </c>
      <c r="P43" s="15">
        <f>P$22*'Rates (2)'!P43</f>
        <v>115.50802139037432</v>
      </c>
      <c r="Q43" s="15">
        <f>Q$2*'Rates (2)'!Q43</f>
        <v>66.5</v>
      </c>
      <c r="R43" s="15">
        <f>R$2*'Rates (2)'!R43</f>
        <v>205.20000000000002</v>
      </c>
      <c r="S43" s="15">
        <f>S$2*'Rates (2)'!S43</f>
        <v>342</v>
      </c>
    </row>
    <row r="44" spans="1:19" x14ac:dyDescent="0.25">
      <c r="A44" s="3">
        <v>2072</v>
      </c>
      <c r="B44" s="15">
        <f>B$22*'Rates (2)'!B44</f>
        <v>69.135802469135811</v>
      </c>
      <c r="C44" s="15">
        <f>C$22*'Rates (2)'!C44</f>
        <v>183.33333333333331</v>
      </c>
      <c r="D44" s="15">
        <f>D$22*'Rates (2)'!D44</f>
        <v>300</v>
      </c>
      <c r="E44" s="15">
        <f>E$22*'Rates (2)'!E44</f>
        <v>4.166666666666667</v>
      </c>
      <c r="F44" s="15">
        <f>F$22*'Rates (2)'!F44</f>
        <v>25.328947368421058</v>
      </c>
      <c r="G44" s="15">
        <f>G$22*'Rates (2)'!G44</f>
        <v>48.913043478260875</v>
      </c>
      <c r="H44" s="15">
        <f>H$22*'Rates (2)'!H44</f>
        <v>81.891891891891888</v>
      </c>
      <c r="I44" s="15">
        <f>I$22*'Rates (2)'!I44</f>
        <v>132.92071536054146</v>
      </c>
      <c r="J44" s="15">
        <f>J$22*'Rates (2)'!J44</f>
        <v>188.23529411764707</v>
      </c>
      <c r="K44" s="15">
        <f>K$22*'Rates (2)'!K44</f>
        <v>50</v>
      </c>
      <c r="L44" s="15">
        <f>L$22*'Rates (2)'!L44</f>
        <v>117.72486772486774</v>
      </c>
      <c r="M44" s="15">
        <f>M$22*'Rates (2)'!M44</f>
        <v>198.93048128342247</v>
      </c>
      <c r="N44" s="15">
        <f>N$22*'Rates (2)'!N44</f>
        <v>23.076923076923073</v>
      </c>
      <c r="O44" s="15">
        <f>O$22*'Rates (2)'!O44</f>
        <v>67.771084337349393</v>
      </c>
      <c r="P44" s="15">
        <f>P$22*'Rates (2)'!P44</f>
        <v>115.50802139037432</v>
      </c>
      <c r="Q44" s="15">
        <f>Q$2*'Rates (2)'!Q44</f>
        <v>66.5</v>
      </c>
      <c r="R44" s="15">
        <f>R$2*'Rates (2)'!R44</f>
        <v>205.20000000000002</v>
      </c>
      <c r="S44" s="15">
        <f>S$2*'Rates (2)'!S44</f>
        <v>342</v>
      </c>
    </row>
    <row r="45" spans="1:19" x14ac:dyDescent="0.25">
      <c r="A45" s="3">
        <v>2073</v>
      </c>
      <c r="B45" s="15">
        <f>B$22*'Rates (2)'!B45</f>
        <v>69.135802469135811</v>
      </c>
      <c r="C45" s="15">
        <f>C$22*'Rates (2)'!C45</f>
        <v>183.33333333333331</v>
      </c>
      <c r="D45" s="15">
        <f>D$22*'Rates (2)'!D45</f>
        <v>300</v>
      </c>
      <c r="E45" s="15">
        <f>E$22*'Rates (2)'!E45</f>
        <v>4.166666666666667</v>
      </c>
      <c r="F45" s="15">
        <f>F$22*'Rates (2)'!F45</f>
        <v>25.328947368421058</v>
      </c>
      <c r="G45" s="15">
        <f>G$22*'Rates (2)'!G45</f>
        <v>48.913043478260875</v>
      </c>
      <c r="H45" s="15">
        <f>H$22*'Rates (2)'!H45</f>
        <v>81.621621621621614</v>
      </c>
      <c r="I45" s="15">
        <f>I$22*'Rates (2)'!I45</f>
        <v>132.54416942467589</v>
      </c>
      <c r="J45" s="15">
        <f>J$22*'Rates (2)'!J45</f>
        <v>188.23529411764707</v>
      </c>
      <c r="K45" s="15">
        <f>K$22*'Rates (2)'!K45</f>
        <v>50</v>
      </c>
      <c r="L45" s="15">
        <f>L$22*'Rates (2)'!L45</f>
        <v>117.72486772486774</v>
      </c>
      <c r="M45" s="15">
        <f>M$22*'Rates (2)'!M45</f>
        <v>198.93048128342247</v>
      </c>
      <c r="N45" s="15">
        <f>N$22*'Rates (2)'!N45</f>
        <v>23.076923076923073</v>
      </c>
      <c r="O45" s="15">
        <f>O$22*'Rates (2)'!O45</f>
        <v>67.771084337349393</v>
      </c>
      <c r="P45" s="15">
        <f>P$22*'Rates (2)'!P45</f>
        <v>115.50802139037432</v>
      </c>
      <c r="Q45" s="15">
        <f>Q$2*'Rates (2)'!Q45</f>
        <v>66.5</v>
      </c>
      <c r="R45" s="15">
        <f>R$2*'Rates (2)'!R45</f>
        <v>205.20000000000002</v>
      </c>
      <c r="S45" s="15">
        <f>S$2*'Rates (2)'!S45</f>
        <v>342</v>
      </c>
    </row>
    <row r="46" spans="1:19" x14ac:dyDescent="0.25">
      <c r="A46" s="3">
        <v>2074</v>
      </c>
      <c r="B46" s="15">
        <f>B$22*'Rates (2)'!B46</f>
        <v>69.135802469135811</v>
      </c>
      <c r="C46" s="15">
        <f>C$22*'Rates (2)'!C46</f>
        <v>183.33333333333331</v>
      </c>
      <c r="D46" s="15">
        <f>D$22*'Rates (2)'!D46</f>
        <v>300</v>
      </c>
      <c r="E46" s="15">
        <f>E$22*'Rates (2)'!E46</f>
        <v>4.166666666666667</v>
      </c>
      <c r="F46" s="15">
        <f>F$22*'Rates (2)'!F46</f>
        <v>25.328947368421058</v>
      </c>
      <c r="G46" s="15">
        <f>G$22*'Rates (2)'!G46</f>
        <v>48.913043478260875</v>
      </c>
      <c r="H46" s="15">
        <f>H$22*'Rates (2)'!H46</f>
        <v>81.351351351351354</v>
      </c>
      <c r="I46" s="15">
        <f>I$22*'Rates (2)'!I46</f>
        <v>132.16762348881034</v>
      </c>
      <c r="J46" s="15">
        <f>J$22*'Rates (2)'!J46</f>
        <v>188.23529411764707</v>
      </c>
      <c r="K46" s="15">
        <f>K$22*'Rates (2)'!K46</f>
        <v>50</v>
      </c>
      <c r="L46" s="15">
        <f>L$22*'Rates (2)'!L46</f>
        <v>117.72486772486774</v>
      </c>
      <c r="M46" s="15">
        <f>M$22*'Rates (2)'!M46</f>
        <v>198.93048128342247</v>
      </c>
      <c r="N46" s="15">
        <f>N$22*'Rates (2)'!N46</f>
        <v>23.076923076923073</v>
      </c>
      <c r="O46" s="15">
        <f>O$22*'Rates (2)'!O46</f>
        <v>67.771084337349393</v>
      </c>
      <c r="P46" s="15">
        <f>P$22*'Rates (2)'!P46</f>
        <v>115.50802139037432</v>
      </c>
      <c r="Q46" s="15">
        <f>Q$2*'Rates (2)'!Q46</f>
        <v>66.5</v>
      </c>
      <c r="R46" s="15">
        <f>R$2*'Rates (2)'!R46</f>
        <v>205.20000000000002</v>
      </c>
      <c r="S46" s="15">
        <f>S$2*'Rates (2)'!S46</f>
        <v>342</v>
      </c>
    </row>
    <row r="47" spans="1:19" x14ac:dyDescent="0.25">
      <c r="A47" s="3">
        <v>2075</v>
      </c>
      <c r="B47" s="15">
        <f>B$22*'Rates (2)'!B47</f>
        <v>69.135802469135811</v>
      </c>
      <c r="C47" s="15">
        <f>C$22*'Rates (2)'!C47</f>
        <v>183.33333333333331</v>
      </c>
      <c r="D47" s="15">
        <f>D$22*'Rates (2)'!D47</f>
        <v>300</v>
      </c>
      <c r="E47" s="15">
        <f>E$22*'Rates (2)'!E47</f>
        <v>4.166666666666667</v>
      </c>
      <c r="F47" s="15">
        <f>F$22*'Rates (2)'!F47</f>
        <v>25.328947368421058</v>
      </c>
      <c r="G47" s="15">
        <f>G$22*'Rates (2)'!G47</f>
        <v>48.913043478260875</v>
      </c>
      <c r="H47" s="15">
        <f>H$22*'Rates (2)'!H47</f>
        <v>81.081081081081081</v>
      </c>
      <c r="I47" s="15">
        <f>I$22*'Rates (2)'!I47</f>
        <v>131.79107755294478</v>
      </c>
      <c r="J47" s="15">
        <f>J$22*'Rates (2)'!J47</f>
        <v>188.23529411764707</v>
      </c>
      <c r="K47" s="15">
        <f>K$22*'Rates (2)'!K47</f>
        <v>50</v>
      </c>
      <c r="L47" s="15">
        <f>L$22*'Rates (2)'!L47</f>
        <v>117.72486772486774</v>
      </c>
      <c r="M47" s="15">
        <f>M$22*'Rates (2)'!M47</f>
        <v>198.93048128342247</v>
      </c>
      <c r="N47" s="15">
        <f>N$22*'Rates (2)'!N47</f>
        <v>23.076923076923073</v>
      </c>
      <c r="O47" s="15">
        <f>O$22*'Rates (2)'!O47</f>
        <v>67.771084337349393</v>
      </c>
      <c r="P47" s="15">
        <f>P$22*'Rates (2)'!P47</f>
        <v>115.50802139037432</v>
      </c>
      <c r="Q47" s="15">
        <f>Q$2*'Rates (2)'!Q47</f>
        <v>66.5</v>
      </c>
      <c r="R47" s="15">
        <f>R$2*'Rates (2)'!R47</f>
        <v>204.9435</v>
      </c>
      <c r="S47" s="15">
        <f>S$2*'Rates (2)'!S47</f>
        <v>342</v>
      </c>
    </row>
    <row r="48" spans="1:19" x14ac:dyDescent="0.25">
      <c r="A48" s="3">
        <v>2076</v>
      </c>
      <c r="B48" s="15">
        <f>B$22*'Rates (2)'!B48</f>
        <v>69.135802469135811</v>
      </c>
      <c r="C48" s="15">
        <f>C$22*'Rates (2)'!C48</f>
        <v>182.66666666666666</v>
      </c>
      <c r="D48" s="15">
        <f>D$22*'Rates (2)'!D48</f>
        <v>300</v>
      </c>
      <c r="E48" s="15">
        <f>E$22*'Rates (2)'!E48</f>
        <v>4.166666666666667</v>
      </c>
      <c r="F48" s="15">
        <f>F$22*'Rates (2)'!F48</f>
        <v>25.328947368421058</v>
      </c>
      <c r="G48" s="15">
        <f>G$22*'Rates (2)'!G48</f>
        <v>48.913043478260875</v>
      </c>
      <c r="H48" s="15">
        <f>H$22*'Rates (2)'!H48</f>
        <v>81.081081081081081</v>
      </c>
      <c r="I48" s="15">
        <f>I$22*'Rates (2)'!I48</f>
        <v>131.79107755294478</v>
      </c>
      <c r="J48" s="15">
        <f>J$22*'Rates (2)'!J48</f>
        <v>188.23529411764707</v>
      </c>
      <c r="K48" s="15">
        <f>K$22*'Rates (2)'!K48</f>
        <v>50</v>
      </c>
      <c r="L48" s="15">
        <f>L$22*'Rates (2)'!L48</f>
        <v>117.72486772486774</v>
      </c>
      <c r="M48" s="15">
        <f>M$22*'Rates (2)'!M48</f>
        <v>198.93048128342247</v>
      </c>
      <c r="N48" s="15">
        <f>N$22*'Rates (2)'!N48</f>
        <v>23.076923076923073</v>
      </c>
      <c r="O48" s="15">
        <f>O$22*'Rates (2)'!O48</f>
        <v>67.590361445783131</v>
      </c>
      <c r="P48" s="15">
        <f>P$22*'Rates (2)'!P48</f>
        <v>115.50802139037432</v>
      </c>
      <c r="Q48" s="15">
        <f>Q$2*'Rates (2)'!Q48</f>
        <v>66.5</v>
      </c>
      <c r="R48" s="15">
        <f>R$2*'Rates (2)'!R48</f>
        <v>204.9435</v>
      </c>
      <c r="S48" s="15">
        <f>S$2*'Rates (2)'!S48</f>
        <v>342</v>
      </c>
    </row>
    <row r="49" spans="1:19" x14ac:dyDescent="0.25">
      <c r="A49" s="3">
        <v>2077</v>
      </c>
      <c r="B49" s="15">
        <f>B$22*'Rates (2)'!B49</f>
        <v>69.135802469135811</v>
      </c>
      <c r="C49" s="15">
        <f>C$22*'Rates (2)'!C49</f>
        <v>181.99999999999997</v>
      </c>
      <c r="D49" s="15">
        <f>D$22*'Rates (2)'!D49</f>
        <v>300</v>
      </c>
      <c r="E49" s="15">
        <f>E$22*'Rates (2)'!E49</f>
        <v>4.166666666666667</v>
      </c>
      <c r="F49" s="15">
        <f>F$22*'Rates (2)'!F49</f>
        <v>25.328947368421058</v>
      </c>
      <c r="G49" s="15">
        <f>G$22*'Rates (2)'!G49</f>
        <v>48.913043478260875</v>
      </c>
      <c r="H49" s="15">
        <f>H$22*'Rates (2)'!H49</f>
        <v>81.081081081081081</v>
      </c>
      <c r="I49" s="15">
        <f>I$22*'Rates (2)'!I49</f>
        <v>131.79107755294478</v>
      </c>
      <c r="J49" s="15">
        <f>J$22*'Rates (2)'!J49</f>
        <v>188.23529411764707</v>
      </c>
      <c r="K49" s="15">
        <f>K$22*'Rates (2)'!K49</f>
        <v>50</v>
      </c>
      <c r="L49" s="15">
        <f>L$22*'Rates (2)'!L49</f>
        <v>117.72486772486774</v>
      </c>
      <c r="M49" s="15">
        <f>M$22*'Rates (2)'!M49</f>
        <v>198.93048128342247</v>
      </c>
      <c r="N49" s="15">
        <f>N$22*'Rates (2)'!N49</f>
        <v>23.076923076923073</v>
      </c>
      <c r="O49" s="15">
        <f>O$22*'Rates (2)'!O49</f>
        <v>67.409638554216869</v>
      </c>
      <c r="P49" s="15">
        <f>P$22*'Rates (2)'!P49</f>
        <v>115.50802139037432</v>
      </c>
      <c r="Q49" s="15">
        <f>Q$2*'Rates (2)'!Q49</f>
        <v>66.5</v>
      </c>
      <c r="R49" s="15">
        <f>R$2*'Rates (2)'!R49</f>
        <v>204.9435</v>
      </c>
      <c r="S49" s="15">
        <f>S$2*'Rates (2)'!S49</f>
        <v>342</v>
      </c>
    </row>
    <row r="50" spans="1:19" x14ac:dyDescent="0.25">
      <c r="A50" s="3">
        <v>2078</v>
      </c>
      <c r="B50" s="15">
        <f>B$22*'Rates (2)'!B50</f>
        <v>69.135802469135811</v>
      </c>
      <c r="C50" s="15">
        <f>C$22*'Rates (2)'!C50</f>
        <v>181.33333333333331</v>
      </c>
      <c r="D50" s="15">
        <f>D$22*'Rates (2)'!D50</f>
        <v>300</v>
      </c>
      <c r="E50" s="15">
        <f>E$22*'Rates (2)'!E50</f>
        <v>4.166666666666667</v>
      </c>
      <c r="F50" s="15">
        <f>F$22*'Rates (2)'!F50</f>
        <v>25.328947368421058</v>
      </c>
      <c r="G50" s="15">
        <f>G$22*'Rates (2)'!G50</f>
        <v>48.913043478260875</v>
      </c>
      <c r="H50" s="15">
        <f>H$22*'Rates (2)'!H50</f>
        <v>81.081081081081081</v>
      </c>
      <c r="I50" s="15">
        <f>I$22*'Rates (2)'!I50</f>
        <v>131.79107755294478</v>
      </c>
      <c r="J50" s="15">
        <f>J$22*'Rates (2)'!J50</f>
        <v>188.23529411764707</v>
      </c>
      <c r="K50" s="15">
        <f>K$22*'Rates (2)'!K50</f>
        <v>50</v>
      </c>
      <c r="L50" s="15">
        <f>L$22*'Rates (2)'!L50</f>
        <v>117.72486772486774</v>
      </c>
      <c r="M50" s="15">
        <f>M$22*'Rates (2)'!M50</f>
        <v>198.93048128342247</v>
      </c>
      <c r="N50" s="15">
        <f>N$22*'Rates (2)'!N50</f>
        <v>23.076923076923073</v>
      </c>
      <c r="O50" s="15">
        <f>O$22*'Rates (2)'!O50</f>
        <v>67.228915662650607</v>
      </c>
      <c r="P50" s="15">
        <f>P$22*'Rates (2)'!P50</f>
        <v>115.50802139037432</v>
      </c>
      <c r="Q50" s="15">
        <f>Q$2*'Rates (2)'!Q50</f>
        <v>66.5</v>
      </c>
      <c r="R50" s="15">
        <f>R$2*'Rates (2)'!R50</f>
        <v>204.9435</v>
      </c>
      <c r="S50" s="15">
        <f>S$2*'Rates (2)'!S50</f>
        <v>342</v>
      </c>
    </row>
    <row r="51" spans="1:19" x14ac:dyDescent="0.25">
      <c r="A51" s="3">
        <v>2079</v>
      </c>
      <c r="B51" s="15">
        <f>B$22*'Rates (2)'!B51</f>
        <v>69.135802469135811</v>
      </c>
      <c r="C51" s="15">
        <f>C$22*'Rates (2)'!C51</f>
        <v>180.66666666666663</v>
      </c>
      <c r="D51" s="15">
        <f>D$22*'Rates (2)'!D51</f>
        <v>300</v>
      </c>
      <c r="E51" s="15">
        <f>E$22*'Rates (2)'!E51</f>
        <v>4.166666666666667</v>
      </c>
      <c r="F51" s="15">
        <f>F$22*'Rates (2)'!F51</f>
        <v>25.328947368421058</v>
      </c>
      <c r="G51" s="15">
        <f>G$22*'Rates (2)'!G51</f>
        <v>48.913043478260875</v>
      </c>
      <c r="H51" s="15">
        <f>H$22*'Rates (2)'!H51</f>
        <v>81.081081081081081</v>
      </c>
      <c r="I51" s="15">
        <f>I$22*'Rates (2)'!I51</f>
        <v>131.79107755294478</v>
      </c>
      <c r="J51" s="15">
        <f>J$22*'Rates (2)'!J51</f>
        <v>188.23529411764707</v>
      </c>
      <c r="K51" s="15">
        <f>K$22*'Rates (2)'!K51</f>
        <v>50</v>
      </c>
      <c r="L51" s="15">
        <f>L$22*'Rates (2)'!L51</f>
        <v>117.72486772486774</v>
      </c>
      <c r="M51" s="15">
        <f>M$22*'Rates (2)'!M51</f>
        <v>198.93048128342247</v>
      </c>
      <c r="N51" s="15">
        <f>N$22*'Rates (2)'!N51</f>
        <v>23.076923076923073</v>
      </c>
      <c r="O51" s="15">
        <f>O$22*'Rates (2)'!O51</f>
        <v>67.048192771084345</v>
      </c>
      <c r="P51" s="15">
        <f>P$22*'Rates (2)'!P51</f>
        <v>115.50802139037432</v>
      </c>
      <c r="Q51" s="15">
        <f>Q$2*'Rates (2)'!Q51</f>
        <v>66.5</v>
      </c>
      <c r="R51" s="15">
        <f>R$2*'Rates (2)'!R51</f>
        <v>204.9435</v>
      </c>
      <c r="S51" s="15">
        <f>S$2*'Rates (2)'!S51</f>
        <v>342</v>
      </c>
    </row>
    <row r="52" spans="1:19" x14ac:dyDescent="0.25">
      <c r="A52" s="3">
        <v>2080</v>
      </c>
      <c r="B52" s="15">
        <f>B$22*'Rates (2)'!B52</f>
        <v>69.135802469135811</v>
      </c>
      <c r="C52" s="15">
        <f>C$22*'Rates (2)'!C52</f>
        <v>179.99999999999997</v>
      </c>
      <c r="D52" s="15">
        <f>D$22*'Rates (2)'!D52</f>
        <v>300</v>
      </c>
      <c r="E52" s="15">
        <f>E$22*'Rates (2)'!E52</f>
        <v>4.166666666666667</v>
      </c>
      <c r="F52" s="15">
        <f>F$22*'Rates (2)'!F52</f>
        <v>25.328947368421058</v>
      </c>
      <c r="G52" s="15">
        <f>G$22*'Rates (2)'!G52</f>
        <v>48.913043478260875</v>
      </c>
      <c r="H52" s="15">
        <f>H$22*'Rates (2)'!H52</f>
        <v>81.081081081081081</v>
      </c>
      <c r="I52" s="15">
        <f>I$22*'Rates (2)'!I52</f>
        <v>131.79107755294478</v>
      </c>
      <c r="J52" s="15">
        <f>J$22*'Rates (2)'!J52</f>
        <v>188.23529411764707</v>
      </c>
      <c r="K52" s="15">
        <f>K$22*'Rates (2)'!K52</f>
        <v>50</v>
      </c>
      <c r="L52" s="15">
        <f>L$22*'Rates (2)'!L52</f>
        <v>117.72486772486774</v>
      </c>
      <c r="M52" s="15">
        <f>M$22*'Rates (2)'!M52</f>
        <v>198.93048128342247</v>
      </c>
      <c r="N52" s="15">
        <f>N$22*'Rates (2)'!N52</f>
        <v>23.076923076923073</v>
      </c>
      <c r="O52" s="15">
        <f>O$22*'Rates (2)'!O52</f>
        <v>66.867469879518069</v>
      </c>
      <c r="P52" s="15">
        <f>P$22*'Rates (2)'!P52</f>
        <v>115.50802139037432</v>
      </c>
      <c r="Q52" s="15">
        <f>Q$2*'Rates (2)'!Q52</f>
        <v>66.5</v>
      </c>
      <c r="R52" s="15">
        <f>R$2*'Rates (2)'!R52</f>
        <v>204.9435</v>
      </c>
      <c r="S52" s="15">
        <f>S$2*'Rates (2)'!S52</f>
        <v>342</v>
      </c>
    </row>
    <row r="53" spans="1:19" x14ac:dyDescent="0.25">
      <c r="A53" s="3">
        <v>2081</v>
      </c>
      <c r="B53" s="15">
        <f>B$22*'Rates (2)'!B53</f>
        <v>68.641975308641975</v>
      </c>
      <c r="C53" s="15">
        <f>C$22*'Rates (2)'!C53</f>
        <v>179.99999999999997</v>
      </c>
      <c r="D53" s="15">
        <f>D$22*'Rates (2)'!D53</f>
        <v>300</v>
      </c>
      <c r="E53" s="15">
        <f>E$22*'Rates (2)'!E53</f>
        <v>4.166666666666667</v>
      </c>
      <c r="F53" s="15">
        <f>F$22*'Rates (2)'!F53</f>
        <v>25.328947368421058</v>
      </c>
      <c r="G53" s="15">
        <f>G$22*'Rates (2)'!G53</f>
        <v>48.913043478260875</v>
      </c>
      <c r="H53" s="15">
        <f>H$22*'Rates (2)'!H53</f>
        <v>81.081081081081081</v>
      </c>
      <c r="I53" s="15">
        <f>I$22*'Rates (2)'!I53</f>
        <v>131.79107755294478</v>
      </c>
      <c r="J53" s="15">
        <f>J$22*'Rates (2)'!J53</f>
        <v>188.23529411764707</v>
      </c>
      <c r="K53" s="15">
        <f>K$22*'Rates (2)'!K53</f>
        <v>50</v>
      </c>
      <c r="L53" s="15">
        <f>L$22*'Rates (2)'!L53</f>
        <v>117.72486772486774</v>
      </c>
      <c r="M53" s="15">
        <f>M$22*'Rates (2)'!M53</f>
        <v>198.93048128342247</v>
      </c>
      <c r="N53" s="15">
        <f>N$22*'Rates (2)'!N53</f>
        <v>23.076923076923073</v>
      </c>
      <c r="O53" s="15">
        <f>O$22*'Rates (2)'!O53</f>
        <v>66.867469879518069</v>
      </c>
      <c r="P53" s="15">
        <f>P$22*'Rates (2)'!P53</f>
        <v>115.50802139037432</v>
      </c>
      <c r="Q53" s="15">
        <f>Q$2*'Rates (2)'!Q53</f>
        <v>66.5</v>
      </c>
      <c r="R53" s="15">
        <f>R$2*'Rates (2)'!R53</f>
        <v>204.9435</v>
      </c>
      <c r="S53" s="15">
        <f>S$2*'Rates (2)'!S53</f>
        <v>342</v>
      </c>
    </row>
    <row r="54" spans="1:19" x14ac:dyDescent="0.25">
      <c r="A54" s="3">
        <v>2082</v>
      </c>
      <c r="B54" s="15">
        <f>B$22*'Rates (2)'!B54</f>
        <v>68.148148148148152</v>
      </c>
      <c r="C54" s="15">
        <f>C$22*'Rates (2)'!C54</f>
        <v>179.99999999999997</v>
      </c>
      <c r="D54" s="15">
        <f>D$22*'Rates (2)'!D54</f>
        <v>300</v>
      </c>
      <c r="E54" s="15">
        <f>E$22*'Rates (2)'!E54</f>
        <v>4.166666666666667</v>
      </c>
      <c r="F54" s="15">
        <f>F$22*'Rates (2)'!F54</f>
        <v>25.328947368421058</v>
      </c>
      <c r="G54" s="15">
        <f>G$22*'Rates (2)'!G54</f>
        <v>48.913043478260875</v>
      </c>
      <c r="H54" s="15">
        <f>H$22*'Rates (2)'!H54</f>
        <v>81.081081081081081</v>
      </c>
      <c r="I54" s="15">
        <f>I$22*'Rates (2)'!I54</f>
        <v>131.79107755294478</v>
      </c>
      <c r="J54" s="15">
        <f>J$22*'Rates (2)'!J54</f>
        <v>188.23529411764707</v>
      </c>
      <c r="K54" s="15">
        <f>K$22*'Rates (2)'!K54</f>
        <v>50</v>
      </c>
      <c r="L54" s="15">
        <f>L$22*'Rates (2)'!L54</f>
        <v>117.72486772486774</v>
      </c>
      <c r="M54" s="15">
        <f>M$22*'Rates (2)'!M54</f>
        <v>198.93048128342247</v>
      </c>
      <c r="N54" s="15">
        <f>N$22*'Rates (2)'!N54</f>
        <v>23.076923076923073</v>
      </c>
      <c r="O54" s="15">
        <f>O$22*'Rates (2)'!O54</f>
        <v>66.867469879518069</v>
      </c>
      <c r="P54" s="15">
        <f>P$22*'Rates (2)'!P54</f>
        <v>115.50802139037432</v>
      </c>
      <c r="Q54" s="15">
        <f>Q$2*'Rates (2)'!Q54</f>
        <v>66.5</v>
      </c>
      <c r="R54" s="15">
        <f>R$2*'Rates (2)'!R54</f>
        <v>204.9435</v>
      </c>
      <c r="S54" s="15">
        <f>S$2*'Rates (2)'!S54</f>
        <v>342</v>
      </c>
    </row>
    <row r="55" spans="1:19" x14ac:dyDescent="0.25">
      <c r="A55" s="3">
        <v>2083</v>
      </c>
      <c r="B55" s="15">
        <f>B$22*'Rates (2)'!B55</f>
        <v>67.65432098765433</v>
      </c>
      <c r="C55" s="15">
        <f>C$22*'Rates (2)'!C55</f>
        <v>179.99999999999997</v>
      </c>
      <c r="D55" s="15">
        <f>D$22*'Rates (2)'!D55</f>
        <v>300</v>
      </c>
      <c r="E55" s="15">
        <f>E$22*'Rates (2)'!E55</f>
        <v>4.166666666666667</v>
      </c>
      <c r="F55" s="15">
        <f>F$22*'Rates (2)'!F55</f>
        <v>25.328947368421058</v>
      </c>
      <c r="G55" s="15">
        <f>G$22*'Rates (2)'!G55</f>
        <v>48.913043478260875</v>
      </c>
      <c r="H55" s="15">
        <f>H$22*'Rates (2)'!H55</f>
        <v>81.081081081081081</v>
      </c>
      <c r="I55" s="15">
        <f>I$22*'Rates (2)'!I55</f>
        <v>131.79107755294478</v>
      </c>
      <c r="J55" s="15">
        <f>J$22*'Rates (2)'!J55</f>
        <v>188.23529411764707</v>
      </c>
      <c r="K55" s="15">
        <f>K$22*'Rates (2)'!K55</f>
        <v>50</v>
      </c>
      <c r="L55" s="15">
        <f>L$22*'Rates (2)'!L55</f>
        <v>117.72486772486774</v>
      </c>
      <c r="M55" s="15">
        <f>M$22*'Rates (2)'!M55</f>
        <v>198.93048128342247</v>
      </c>
      <c r="N55" s="15">
        <f>N$22*'Rates (2)'!N55</f>
        <v>23.076923076923073</v>
      </c>
      <c r="O55" s="15">
        <f>O$22*'Rates (2)'!O55</f>
        <v>66.867469879518069</v>
      </c>
      <c r="P55" s="15">
        <f>P$22*'Rates (2)'!P55</f>
        <v>115.50802139037432</v>
      </c>
      <c r="Q55" s="15">
        <f>Q$2*'Rates (2)'!Q55</f>
        <v>66.5</v>
      </c>
      <c r="R55" s="15">
        <f>R$2*'Rates (2)'!R55</f>
        <v>204.9435</v>
      </c>
      <c r="S55" s="15">
        <f>S$2*'Rates (2)'!S55</f>
        <v>342</v>
      </c>
    </row>
    <row r="56" spans="1:19" x14ac:dyDescent="0.25">
      <c r="A56" s="3">
        <v>2084</v>
      </c>
      <c r="B56" s="15">
        <f>B$22*'Rates (2)'!B56</f>
        <v>67.160493827160494</v>
      </c>
      <c r="C56" s="15">
        <f>C$22*'Rates (2)'!C56</f>
        <v>179.99999999999997</v>
      </c>
      <c r="D56" s="15">
        <f>D$22*'Rates (2)'!D56</f>
        <v>300</v>
      </c>
      <c r="E56" s="15">
        <f>E$22*'Rates (2)'!E56</f>
        <v>4.166666666666667</v>
      </c>
      <c r="F56" s="15">
        <f>F$22*'Rates (2)'!F56</f>
        <v>25.328947368421058</v>
      </c>
      <c r="G56" s="15">
        <f>G$22*'Rates (2)'!G56</f>
        <v>48.913043478260875</v>
      </c>
      <c r="H56" s="15">
        <f>H$22*'Rates (2)'!H56</f>
        <v>81.081081081081081</v>
      </c>
      <c r="I56" s="15">
        <f>I$22*'Rates (2)'!I56</f>
        <v>131.79107755294478</v>
      </c>
      <c r="J56" s="15">
        <f>J$22*'Rates (2)'!J56</f>
        <v>188.23529411764707</v>
      </c>
      <c r="K56" s="15">
        <f>K$22*'Rates (2)'!K56</f>
        <v>50</v>
      </c>
      <c r="L56" s="15">
        <f>L$22*'Rates (2)'!L56</f>
        <v>117.72486772486774</v>
      </c>
      <c r="M56" s="15">
        <f>M$22*'Rates (2)'!M56</f>
        <v>198.93048128342247</v>
      </c>
      <c r="N56" s="15">
        <f>N$22*'Rates (2)'!N56</f>
        <v>23.076923076923073</v>
      </c>
      <c r="O56" s="15">
        <f>O$22*'Rates (2)'!O56</f>
        <v>66.867469879518069</v>
      </c>
      <c r="P56" s="15">
        <f>P$22*'Rates (2)'!P56</f>
        <v>115.50802139037432</v>
      </c>
      <c r="Q56" s="15">
        <f>Q$2*'Rates (2)'!Q56</f>
        <v>66.5</v>
      </c>
      <c r="R56" s="15">
        <f>R$2*'Rates (2)'!R56</f>
        <v>204.9435</v>
      </c>
      <c r="S56" s="15">
        <f>S$2*'Rates (2)'!S56</f>
        <v>342</v>
      </c>
    </row>
    <row r="57" spans="1:19" x14ac:dyDescent="0.25">
      <c r="A57" s="3">
        <v>2085</v>
      </c>
      <c r="B57" s="15">
        <f>B$22*'Rates (2)'!B57</f>
        <v>66.666666666666657</v>
      </c>
      <c r="C57" s="15">
        <f>C$22*'Rates (2)'!C57</f>
        <v>179.99999999999997</v>
      </c>
      <c r="D57" s="15">
        <f>D$22*'Rates (2)'!D57</f>
        <v>300</v>
      </c>
      <c r="E57" s="15">
        <f>E$22*'Rates (2)'!E57</f>
        <v>4.166666666666667</v>
      </c>
      <c r="F57" s="15">
        <f>F$22*'Rates (2)'!F57</f>
        <v>25.328947368421058</v>
      </c>
      <c r="G57" s="15">
        <f>G$22*'Rates (2)'!G57</f>
        <v>48.913043478260875</v>
      </c>
      <c r="H57" s="15">
        <f>H$22*'Rates (2)'!H57</f>
        <v>81.081081081081081</v>
      </c>
      <c r="I57" s="15">
        <f>I$22*'Rates (2)'!I57</f>
        <v>131.79107755294478</v>
      </c>
      <c r="J57" s="15">
        <f>J$22*'Rates (2)'!J57</f>
        <v>188.23529411764707</v>
      </c>
      <c r="K57" s="15">
        <f>K$22*'Rates (2)'!K57</f>
        <v>50</v>
      </c>
      <c r="L57" s="15">
        <f>L$22*'Rates (2)'!L57</f>
        <v>117.72486772486774</v>
      </c>
      <c r="M57" s="15">
        <f>M$22*'Rates (2)'!M57</f>
        <v>198.93048128342247</v>
      </c>
      <c r="N57" s="15">
        <f>N$22*'Rates (2)'!N57</f>
        <v>23.076923076923073</v>
      </c>
      <c r="O57" s="15">
        <f>O$22*'Rates (2)'!O57</f>
        <v>66.867469879518069</v>
      </c>
      <c r="P57" s="15">
        <f>P$22*'Rates (2)'!P57</f>
        <v>115.50802139037432</v>
      </c>
      <c r="Q57" s="15">
        <f>Q$2*'Rates (2)'!Q57</f>
        <v>66.5</v>
      </c>
      <c r="R57" s="15">
        <f>R$2*'Rates (2)'!R57</f>
        <v>204.9435</v>
      </c>
      <c r="S57" s="15">
        <f>S$2*'Rates (2)'!S57</f>
        <v>342</v>
      </c>
    </row>
    <row r="58" spans="1:19" x14ac:dyDescent="0.25">
      <c r="A58" s="3">
        <v>2086</v>
      </c>
      <c r="B58" s="15">
        <f>B$22*'Rates (2)'!B58</f>
        <v>66.666666666666657</v>
      </c>
      <c r="C58" s="15">
        <f>C$22*'Rates (2)'!C58</f>
        <v>179.99999999999997</v>
      </c>
      <c r="D58" s="15">
        <f>D$22*'Rates (2)'!D58</f>
        <v>300</v>
      </c>
      <c r="E58" s="15">
        <f>E$22*'Rates (2)'!E58</f>
        <v>4.166666666666667</v>
      </c>
      <c r="F58" s="15">
        <f>F$22*'Rates (2)'!F58</f>
        <v>25.328947368421058</v>
      </c>
      <c r="G58" s="15">
        <f>G$22*'Rates (2)'!G58</f>
        <v>48.913043478260875</v>
      </c>
      <c r="H58" s="15">
        <f>H$22*'Rates (2)'!H58</f>
        <v>80.810810810810807</v>
      </c>
      <c r="I58" s="15">
        <f>I$22*'Rates (2)'!I58</f>
        <v>131.79107755294478</v>
      </c>
      <c r="J58" s="15">
        <f>J$22*'Rates (2)'!J58</f>
        <v>188.23529411764707</v>
      </c>
      <c r="K58" s="15">
        <f>K$22*'Rates (2)'!K58</f>
        <v>50</v>
      </c>
      <c r="L58" s="15">
        <f>L$22*'Rates (2)'!L58</f>
        <v>117.72486772486774</v>
      </c>
      <c r="M58" s="15">
        <f>M$22*'Rates (2)'!M58</f>
        <v>198.93048128342247</v>
      </c>
      <c r="N58" s="15">
        <f>N$22*'Rates (2)'!N58</f>
        <v>23.076923076923073</v>
      </c>
      <c r="O58" s="15">
        <f>O$22*'Rates (2)'!O58</f>
        <v>66.867469879518069</v>
      </c>
      <c r="P58" s="15">
        <f>P$22*'Rates (2)'!P58</f>
        <v>115.50802139037432</v>
      </c>
      <c r="Q58" s="15">
        <f>Q$2*'Rates (2)'!Q58</f>
        <v>66.5</v>
      </c>
      <c r="R58" s="15">
        <f>R$2*'Rates (2)'!R58</f>
        <v>204.9435</v>
      </c>
      <c r="S58" s="15">
        <f>S$2*'Rates (2)'!S58</f>
        <v>342</v>
      </c>
    </row>
    <row r="59" spans="1:19" x14ac:dyDescent="0.25">
      <c r="A59" s="3">
        <v>2087</v>
      </c>
      <c r="B59" s="15">
        <f>B$22*'Rates (2)'!B59</f>
        <v>66.666666666666657</v>
      </c>
      <c r="C59" s="15">
        <f>C$22*'Rates (2)'!C59</f>
        <v>179.99999999999997</v>
      </c>
      <c r="D59" s="15">
        <f>D$22*'Rates (2)'!D59</f>
        <v>300</v>
      </c>
      <c r="E59" s="15">
        <f>E$22*'Rates (2)'!E59</f>
        <v>4.166666666666667</v>
      </c>
      <c r="F59" s="15">
        <f>F$22*'Rates (2)'!F59</f>
        <v>25.328947368421058</v>
      </c>
      <c r="G59" s="15">
        <f>G$22*'Rates (2)'!G59</f>
        <v>48.913043478260875</v>
      </c>
      <c r="H59" s="15">
        <f>H$22*'Rates (2)'!H59</f>
        <v>80.540540540540533</v>
      </c>
      <c r="I59" s="15">
        <f>I$22*'Rates (2)'!I59</f>
        <v>131.79107755294478</v>
      </c>
      <c r="J59" s="15">
        <f>J$22*'Rates (2)'!J59</f>
        <v>188.23529411764707</v>
      </c>
      <c r="K59" s="15">
        <f>K$22*'Rates (2)'!K59</f>
        <v>50</v>
      </c>
      <c r="L59" s="15">
        <f>L$22*'Rates (2)'!L59</f>
        <v>117.72486772486774</v>
      </c>
      <c r="M59" s="15">
        <f>M$22*'Rates (2)'!M59</f>
        <v>198.93048128342247</v>
      </c>
      <c r="N59" s="15">
        <f>N$22*'Rates (2)'!N59</f>
        <v>23.076923076923073</v>
      </c>
      <c r="O59" s="15">
        <f>O$22*'Rates (2)'!O59</f>
        <v>66.867469879518069</v>
      </c>
      <c r="P59" s="15">
        <f>P$22*'Rates (2)'!P59</f>
        <v>115.50802139037432</v>
      </c>
      <c r="Q59" s="15">
        <f>Q$2*'Rates (2)'!Q59</f>
        <v>66.5</v>
      </c>
      <c r="R59" s="15">
        <f>R$2*'Rates (2)'!R59</f>
        <v>204.9435</v>
      </c>
      <c r="S59" s="15">
        <f>S$2*'Rates (2)'!S59</f>
        <v>342</v>
      </c>
    </row>
    <row r="60" spans="1:19" x14ac:dyDescent="0.25">
      <c r="A60" s="3">
        <v>2088</v>
      </c>
      <c r="B60" s="15">
        <f>B$22*'Rates (2)'!B60</f>
        <v>66.666666666666657</v>
      </c>
      <c r="C60" s="15">
        <f>C$22*'Rates (2)'!C60</f>
        <v>179.99999999999997</v>
      </c>
      <c r="D60" s="15">
        <f>D$22*'Rates (2)'!D60</f>
        <v>300</v>
      </c>
      <c r="E60" s="15">
        <f>E$22*'Rates (2)'!E60</f>
        <v>4.166666666666667</v>
      </c>
      <c r="F60" s="15">
        <f>F$22*'Rates (2)'!F60</f>
        <v>25.328947368421058</v>
      </c>
      <c r="G60" s="15">
        <f>G$22*'Rates (2)'!G60</f>
        <v>48.913043478260875</v>
      </c>
      <c r="H60" s="15">
        <f>H$22*'Rates (2)'!H60</f>
        <v>80.270270270270274</v>
      </c>
      <c r="I60" s="15">
        <f>I$22*'Rates (2)'!I60</f>
        <v>131.79107755294478</v>
      </c>
      <c r="J60" s="15">
        <f>J$22*'Rates (2)'!J60</f>
        <v>188.23529411764707</v>
      </c>
      <c r="K60" s="15">
        <f>K$22*'Rates (2)'!K60</f>
        <v>50</v>
      </c>
      <c r="L60" s="15">
        <f>L$22*'Rates (2)'!L60</f>
        <v>117.72486772486774</v>
      </c>
      <c r="M60" s="15">
        <f>M$22*'Rates (2)'!M60</f>
        <v>198.93048128342247</v>
      </c>
      <c r="N60" s="15">
        <f>N$22*'Rates (2)'!N60</f>
        <v>23.076923076923073</v>
      </c>
      <c r="O60" s="15">
        <f>O$22*'Rates (2)'!O60</f>
        <v>66.867469879518069</v>
      </c>
      <c r="P60" s="15">
        <f>P$22*'Rates (2)'!P60</f>
        <v>115.50802139037432</v>
      </c>
      <c r="Q60" s="15">
        <f>Q$2*'Rates (2)'!Q60</f>
        <v>66.5</v>
      </c>
      <c r="R60" s="15">
        <f>R$2*'Rates (2)'!R60</f>
        <v>204.9435</v>
      </c>
      <c r="S60" s="15">
        <f>S$2*'Rates (2)'!S60</f>
        <v>342</v>
      </c>
    </row>
    <row r="61" spans="1:19" x14ac:dyDescent="0.25">
      <c r="A61" s="3">
        <v>2089</v>
      </c>
      <c r="B61" s="15">
        <f>B$22*'Rates (2)'!B61</f>
        <v>66.666666666666657</v>
      </c>
      <c r="C61" s="15">
        <f>C$22*'Rates (2)'!C61</f>
        <v>179.99999999999997</v>
      </c>
      <c r="D61" s="15">
        <f>D$22*'Rates (2)'!D61</f>
        <v>300</v>
      </c>
      <c r="E61" s="15">
        <f>E$22*'Rates (2)'!E61</f>
        <v>4.166666666666667</v>
      </c>
      <c r="F61" s="15">
        <f>F$22*'Rates (2)'!F61</f>
        <v>25.328947368421058</v>
      </c>
      <c r="G61" s="15">
        <f>G$22*'Rates (2)'!G61</f>
        <v>48.913043478260875</v>
      </c>
      <c r="H61" s="15">
        <f>H$22*'Rates (2)'!H61</f>
        <v>80</v>
      </c>
      <c r="I61" s="15">
        <f>I$22*'Rates (2)'!I61</f>
        <v>131.79107755294478</v>
      </c>
      <c r="J61" s="15">
        <f>J$22*'Rates (2)'!J61</f>
        <v>188.23529411764707</v>
      </c>
      <c r="K61" s="15">
        <f>K$22*'Rates (2)'!K61</f>
        <v>50</v>
      </c>
      <c r="L61" s="15">
        <f>L$22*'Rates (2)'!L61</f>
        <v>117.72486772486774</v>
      </c>
      <c r="M61" s="15">
        <f>M$22*'Rates (2)'!M61</f>
        <v>198.93048128342247</v>
      </c>
      <c r="N61" s="15">
        <f>N$22*'Rates (2)'!N61</f>
        <v>23.076923076923073</v>
      </c>
      <c r="O61" s="15">
        <f>O$22*'Rates (2)'!O61</f>
        <v>66.867469879518069</v>
      </c>
      <c r="P61" s="15">
        <f>P$22*'Rates (2)'!P61</f>
        <v>115.50802139037432</v>
      </c>
      <c r="Q61" s="15">
        <f>Q$2*'Rates (2)'!Q61</f>
        <v>66.5</v>
      </c>
      <c r="R61" s="15">
        <f>R$2*'Rates (2)'!R61</f>
        <v>204.9435</v>
      </c>
      <c r="S61" s="15">
        <f>S$2*'Rates (2)'!S61</f>
        <v>342</v>
      </c>
    </row>
    <row r="62" spans="1:19" x14ac:dyDescent="0.25">
      <c r="A62" s="3">
        <v>2090</v>
      </c>
      <c r="B62" s="15">
        <f>B$22*'Rates (2)'!B62</f>
        <v>66.666666666666657</v>
      </c>
      <c r="C62" s="15">
        <f>C$22*'Rates (2)'!C62</f>
        <v>179.99999999999997</v>
      </c>
      <c r="D62" s="15">
        <f>D$22*'Rates (2)'!D62</f>
        <v>300</v>
      </c>
      <c r="E62" s="15">
        <f>E$22*'Rates (2)'!E62</f>
        <v>4.166666666666667</v>
      </c>
      <c r="F62" s="15">
        <f>F$22*'Rates (2)'!F62</f>
        <v>25.328947368421058</v>
      </c>
      <c r="G62" s="15">
        <f>G$22*'Rates (2)'!G62</f>
        <v>48.913043478260875</v>
      </c>
      <c r="H62" s="15">
        <f>H$22*'Rates (2)'!H62</f>
        <v>79.729729729729726</v>
      </c>
      <c r="I62" s="15">
        <f>I$22*'Rates (2)'!I62</f>
        <v>131.79107755294478</v>
      </c>
      <c r="J62" s="15">
        <f>J$22*'Rates (2)'!J62</f>
        <v>188.23529411764707</v>
      </c>
      <c r="K62" s="15">
        <f>K$22*'Rates (2)'!K62</f>
        <v>50</v>
      </c>
      <c r="L62" s="15">
        <f>L$22*'Rates (2)'!L62</f>
        <v>117.72486772486774</v>
      </c>
      <c r="M62" s="15">
        <f>M$22*'Rates (2)'!M62</f>
        <v>198.93048128342247</v>
      </c>
      <c r="N62" s="15">
        <f>N$22*'Rates (2)'!N62</f>
        <v>23.076923076923073</v>
      </c>
      <c r="O62" s="15">
        <f>O$22*'Rates (2)'!O62</f>
        <v>66.867469879518069</v>
      </c>
      <c r="P62" s="15">
        <f>P$22*'Rates (2)'!P62</f>
        <v>115.50802139037432</v>
      </c>
      <c r="Q62" s="15">
        <f>Q$2*'Rates (2)'!Q62</f>
        <v>66.5</v>
      </c>
      <c r="R62" s="15">
        <f>R$2*'Rates (2)'!R62</f>
        <v>204.9435</v>
      </c>
      <c r="S62" s="15">
        <f>S$2*'Rates (2)'!S62</f>
        <v>342</v>
      </c>
    </row>
    <row r="63" spans="1:19" x14ac:dyDescent="0.25">
      <c r="A63" s="3">
        <v>2091</v>
      </c>
      <c r="B63" s="15">
        <f>B$22*'Rates (2)'!B63</f>
        <v>66.666666666666657</v>
      </c>
      <c r="C63" s="15">
        <f>C$22*'Rates (2)'!C63</f>
        <v>179.99999999999997</v>
      </c>
      <c r="D63" s="15">
        <f>D$22*'Rates (2)'!D63</f>
        <v>300</v>
      </c>
      <c r="E63" s="15">
        <f>E$22*'Rates (2)'!E63</f>
        <v>4.166666666666667</v>
      </c>
      <c r="F63" s="15">
        <f>F$22*'Rates (2)'!F63</f>
        <v>25.328947368421058</v>
      </c>
      <c r="G63" s="15">
        <f>G$22*'Rates (2)'!G63</f>
        <v>48.913043478260875</v>
      </c>
      <c r="H63" s="15">
        <f>H$22*'Rates (2)'!H63</f>
        <v>79.729729729729726</v>
      </c>
      <c r="I63" s="15">
        <f>I$22*'Rates (2)'!I63</f>
        <v>131.79107755294478</v>
      </c>
      <c r="J63" s="15">
        <f>J$22*'Rates (2)'!J63</f>
        <v>188.23529411764707</v>
      </c>
      <c r="K63" s="15">
        <f>K$22*'Rates (2)'!K63</f>
        <v>50</v>
      </c>
      <c r="L63" s="15">
        <f>L$22*'Rates (2)'!L63</f>
        <v>117.72486772486774</v>
      </c>
      <c r="M63" s="15">
        <f>M$22*'Rates (2)'!M63</f>
        <v>198.93048128342247</v>
      </c>
      <c r="N63" s="15">
        <f>N$22*'Rates (2)'!N63</f>
        <v>23.076923076923073</v>
      </c>
      <c r="O63" s="15">
        <f>O$22*'Rates (2)'!O63</f>
        <v>66.686746987951807</v>
      </c>
      <c r="P63" s="15">
        <f>P$22*'Rates (2)'!P63</f>
        <v>115.50802139037432</v>
      </c>
      <c r="Q63" s="15">
        <f>Q$2*'Rates (2)'!Q63</f>
        <v>66.5</v>
      </c>
      <c r="R63" s="15">
        <f>R$2*'Rates (2)'!R63</f>
        <v>204.9435</v>
      </c>
      <c r="S63" s="15">
        <f>S$2*'Rates (2)'!S63</f>
        <v>342</v>
      </c>
    </row>
    <row r="64" spans="1:19" x14ac:dyDescent="0.25">
      <c r="A64" s="3">
        <v>2092</v>
      </c>
      <c r="B64" s="15">
        <f>B$22*'Rates (2)'!B64</f>
        <v>66.666666666666657</v>
      </c>
      <c r="C64" s="15">
        <f>C$22*'Rates (2)'!C64</f>
        <v>179.99999999999997</v>
      </c>
      <c r="D64" s="15">
        <f>D$22*'Rates (2)'!D64</f>
        <v>300</v>
      </c>
      <c r="E64" s="15">
        <f>E$22*'Rates (2)'!E64</f>
        <v>4.166666666666667</v>
      </c>
      <c r="F64" s="15">
        <f>F$22*'Rates (2)'!F64</f>
        <v>25.328947368421058</v>
      </c>
      <c r="G64" s="15">
        <f>G$22*'Rates (2)'!G64</f>
        <v>48.913043478260875</v>
      </c>
      <c r="H64" s="15">
        <f>H$22*'Rates (2)'!H64</f>
        <v>79.729729729729726</v>
      </c>
      <c r="I64" s="15">
        <f>I$22*'Rates (2)'!I64</f>
        <v>131.79107755294478</v>
      </c>
      <c r="J64" s="15">
        <f>J$22*'Rates (2)'!J64</f>
        <v>188.23529411764707</v>
      </c>
      <c r="K64" s="15">
        <f>K$22*'Rates (2)'!K64</f>
        <v>50</v>
      </c>
      <c r="L64" s="15">
        <f>L$22*'Rates (2)'!L64</f>
        <v>117.72486772486774</v>
      </c>
      <c r="M64" s="15">
        <f>M$22*'Rates (2)'!M64</f>
        <v>198.93048128342247</v>
      </c>
      <c r="N64" s="15">
        <f>N$22*'Rates (2)'!N64</f>
        <v>23.076923076923073</v>
      </c>
      <c r="O64" s="15">
        <f>O$22*'Rates (2)'!O64</f>
        <v>66.506024096385545</v>
      </c>
      <c r="P64" s="15">
        <f>P$22*'Rates (2)'!P64</f>
        <v>115.50802139037432</v>
      </c>
      <c r="Q64" s="15">
        <f>Q$2*'Rates (2)'!Q64</f>
        <v>66.5</v>
      </c>
      <c r="R64" s="15">
        <f>R$2*'Rates (2)'!R64</f>
        <v>204.9435</v>
      </c>
      <c r="S64" s="15">
        <f>S$2*'Rates (2)'!S64</f>
        <v>342</v>
      </c>
    </row>
    <row r="65" spans="1:19" x14ac:dyDescent="0.25">
      <c r="A65" s="3">
        <v>2093</v>
      </c>
      <c r="B65" s="15">
        <f>B$22*'Rates (2)'!B65</f>
        <v>66.666666666666657</v>
      </c>
      <c r="C65" s="15">
        <f>C$22*'Rates (2)'!C65</f>
        <v>179.99999999999997</v>
      </c>
      <c r="D65" s="15">
        <f>D$22*'Rates (2)'!D65</f>
        <v>300</v>
      </c>
      <c r="E65" s="15">
        <f>E$22*'Rates (2)'!E65</f>
        <v>4.166666666666667</v>
      </c>
      <c r="F65" s="15">
        <f>F$22*'Rates (2)'!F65</f>
        <v>25.328947368421058</v>
      </c>
      <c r="G65" s="15">
        <f>G$22*'Rates (2)'!G65</f>
        <v>48.913043478260875</v>
      </c>
      <c r="H65" s="15">
        <f>H$22*'Rates (2)'!H65</f>
        <v>79.729729729729726</v>
      </c>
      <c r="I65" s="15">
        <f>I$22*'Rates (2)'!I65</f>
        <v>131.79107755294478</v>
      </c>
      <c r="J65" s="15">
        <f>J$22*'Rates (2)'!J65</f>
        <v>188.23529411764707</v>
      </c>
      <c r="K65" s="15">
        <f>K$22*'Rates (2)'!K65</f>
        <v>50</v>
      </c>
      <c r="L65" s="15">
        <f>L$22*'Rates (2)'!L65</f>
        <v>117.72486772486774</v>
      </c>
      <c r="M65" s="15">
        <f>M$22*'Rates (2)'!M65</f>
        <v>198.93048128342247</v>
      </c>
      <c r="N65" s="15">
        <f>N$22*'Rates (2)'!N65</f>
        <v>23.076923076923073</v>
      </c>
      <c r="O65" s="15">
        <f>O$22*'Rates (2)'!O65</f>
        <v>66.325301204819283</v>
      </c>
      <c r="P65" s="15">
        <f>P$22*'Rates (2)'!P65</f>
        <v>115.50802139037432</v>
      </c>
      <c r="Q65" s="15">
        <f>Q$2*'Rates (2)'!Q65</f>
        <v>66.5</v>
      </c>
      <c r="R65" s="15">
        <f>R$2*'Rates (2)'!R65</f>
        <v>204.9435</v>
      </c>
      <c r="S65" s="15">
        <f>S$2*'Rates (2)'!S65</f>
        <v>342</v>
      </c>
    </row>
    <row r="66" spans="1:19" x14ac:dyDescent="0.25">
      <c r="A66" s="3">
        <v>2094</v>
      </c>
      <c r="B66" s="15">
        <f>B$22*'Rates (2)'!B66</f>
        <v>66.666666666666657</v>
      </c>
      <c r="C66" s="15">
        <f>C$22*'Rates (2)'!C66</f>
        <v>179.99999999999997</v>
      </c>
      <c r="D66" s="15">
        <f>D$22*'Rates (2)'!D66</f>
        <v>300</v>
      </c>
      <c r="E66" s="15">
        <f>E$22*'Rates (2)'!E66</f>
        <v>4.166666666666667</v>
      </c>
      <c r="F66" s="15">
        <f>F$22*'Rates (2)'!F66</f>
        <v>25.328947368421058</v>
      </c>
      <c r="G66" s="15">
        <f>G$22*'Rates (2)'!G66</f>
        <v>48.913043478260875</v>
      </c>
      <c r="H66" s="15">
        <f>H$22*'Rates (2)'!H66</f>
        <v>79.729729729729726</v>
      </c>
      <c r="I66" s="15">
        <f>I$22*'Rates (2)'!I66</f>
        <v>131.79107755294478</v>
      </c>
      <c r="J66" s="15">
        <f>J$22*'Rates (2)'!J66</f>
        <v>188.23529411764707</v>
      </c>
      <c r="K66" s="15">
        <f>K$22*'Rates (2)'!K66</f>
        <v>50</v>
      </c>
      <c r="L66" s="15">
        <f>L$22*'Rates (2)'!L66</f>
        <v>117.72486772486774</v>
      </c>
      <c r="M66" s="15">
        <f>M$22*'Rates (2)'!M66</f>
        <v>198.93048128342247</v>
      </c>
      <c r="N66" s="15">
        <f>N$22*'Rates (2)'!N66</f>
        <v>23.076923076923073</v>
      </c>
      <c r="O66" s="15">
        <f>O$22*'Rates (2)'!O66</f>
        <v>66.144578313253007</v>
      </c>
      <c r="P66" s="15">
        <f>P$22*'Rates (2)'!P66</f>
        <v>115.50802139037432</v>
      </c>
      <c r="Q66" s="15">
        <f>Q$2*'Rates (2)'!Q66</f>
        <v>66.5</v>
      </c>
      <c r="R66" s="15">
        <f>R$2*'Rates (2)'!R66</f>
        <v>204.9435</v>
      </c>
      <c r="S66" s="15">
        <f>S$2*'Rates (2)'!S66</f>
        <v>342</v>
      </c>
    </row>
    <row r="67" spans="1:19" x14ac:dyDescent="0.25">
      <c r="A67" s="3">
        <v>2095</v>
      </c>
      <c r="B67" s="15">
        <f>B$22*'Rates (2)'!B67</f>
        <v>66.666666666666657</v>
      </c>
      <c r="C67" s="15">
        <f>C$22*'Rates (2)'!C67</f>
        <v>179.99999999999997</v>
      </c>
      <c r="D67" s="15">
        <f>D$22*'Rates (2)'!D67</f>
        <v>300</v>
      </c>
      <c r="E67" s="15">
        <f>E$22*'Rates (2)'!E67</f>
        <v>4.166666666666667</v>
      </c>
      <c r="F67" s="15">
        <f>F$22*'Rates (2)'!F67</f>
        <v>25.328947368421058</v>
      </c>
      <c r="G67" s="15">
        <f>G$22*'Rates (2)'!G67</f>
        <v>48.913043478260875</v>
      </c>
      <c r="H67" s="15">
        <f>H$22*'Rates (2)'!H67</f>
        <v>79.729729729729726</v>
      </c>
      <c r="I67" s="15">
        <f>I$22*'Rates (2)'!I67</f>
        <v>131.79107755294478</v>
      </c>
      <c r="J67" s="15">
        <f>J$22*'Rates (2)'!J67</f>
        <v>188.23529411764707</v>
      </c>
      <c r="K67" s="15">
        <f>K$22*'Rates (2)'!K67</f>
        <v>50</v>
      </c>
      <c r="L67" s="15">
        <f>L$22*'Rates (2)'!L67</f>
        <v>117.72486772486774</v>
      </c>
      <c r="M67" s="15">
        <f>M$22*'Rates (2)'!M67</f>
        <v>198.93048128342247</v>
      </c>
      <c r="N67" s="15">
        <f>N$22*'Rates (2)'!N67</f>
        <v>23.076923076923073</v>
      </c>
      <c r="O67" s="15">
        <f>O$22*'Rates (2)'!O67</f>
        <v>65.963855421686745</v>
      </c>
      <c r="P67" s="15">
        <f>P$22*'Rates (2)'!P67</f>
        <v>115.50802139037432</v>
      </c>
      <c r="Q67" s="15">
        <f>Q$2*'Rates (2)'!Q67</f>
        <v>66.5</v>
      </c>
      <c r="R67" s="15">
        <f>R$2*'Rates (2)'!R67</f>
        <v>204.9435</v>
      </c>
      <c r="S67" s="15">
        <f>S$2*'Rates (2)'!S67</f>
        <v>342</v>
      </c>
    </row>
    <row r="68" spans="1:19" x14ac:dyDescent="0.25">
      <c r="A68" s="3">
        <v>2096</v>
      </c>
      <c r="B68" s="15">
        <f>B$22*'Rates (2)'!B68</f>
        <v>66.666666666666657</v>
      </c>
      <c r="C68" s="15">
        <f>C$22*'Rates (2)'!C68</f>
        <v>179.99999999999997</v>
      </c>
      <c r="D68" s="15">
        <f>D$22*'Rates (2)'!D68</f>
        <v>300</v>
      </c>
      <c r="E68" s="15">
        <f>E$22*'Rates (2)'!E68</f>
        <v>4.166666666666667</v>
      </c>
      <c r="F68" s="15">
        <f>F$22*'Rates (2)'!F68</f>
        <v>25.328947368421058</v>
      </c>
      <c r="G68" s="15">
        <f>G$22*'Rates (2)'!G68</f>
        <v>48.913043478260875</v>
      </c>
      <c r="H68" s="15">
        <f>H$22*'Rates (2)'!H68</f>
        <v>79.729729729729726</v>
      </c>
      <c r="I68" s="15">
        <f>I$22*'Rates (2)'!I68</f>
        <v>131.79107755294478</v>
      </c>
      <c r="J68" s="15">
        <f>J$22*'Rates (2)'!J68</f>
        <v>188.23529411764707</v>
      </c>
      <c r="K68" s="15">
        <f>K$22*'Rates (2)'!K68</f>
        <v>50</v>
      </c>
      <c r="L68" s="15">
        <f>L$22*'Rates (2)'!L68</f>
        <v>117.72486772486774</v>
      </c>
      <c r="M68" s="15">
        <f>M$22*'Rates (2)'!M68</f>
        <v>198.93048128342247</v>
      </c>
      <c r="N68" s="15">
        <f>N$22*'Rates (2)'!N68</f>
        <v>23.076923076923073</v>
      </c>
      <c r="O68" s="15">
        <f>O$22*'Rates (2)'!O68</f>
        <v>65.963855421686745</v>
      </c>
      <c r="P68" s="15">
        <f>P$22*'Rates (2)'!P68</f>
        <v>115.50802139037432</v>
      </c>
      <c r="Q68" s="15">
        <f>Q$2*'Rates (2)'!Q68</f>
        <v>66.5</v>
      </c>
      <c r="R68" s="15">
        <f>R$2*'Rates (2)'!R68</f>
        <v>204.9435</v>
      </c>
      <c r="S68" s="15">
        <f>S$2*'Rates (2)'!S68</f>
        <v>342</v>
      </c>
    </row>
    <row r="69" spans="1:19" x14ac:dyDescent="0.25">
      <c r="A69" s="3">
        <v>2097</v>
      </c>
      <c r="B69" s="15">
        <f>B$22*'Rates (2)'!B69</f>
        <v>66.666666666666657</v>
      </c>
      <c r="C69" s="15">
        <f>C$22*'Rates (2)'!C69</f>
        <v>179.99999999999997</v>
      </c>
      <c r="D69" s="15">
        <f>D$22*'Rates (2)'!D69</f>
        <v>300</v>
      </c>
      <c r="E69" s="15">
        <f>E$22*'Rates (2)'!E69</f>
        <v>4.166666666666667</v>
      </c>
      <c r="F69" s="15">
        <f>F$22*'Rates (2)'!F69</f>
        <v>25.328947368421058</v>
      </c>
      <c r="G69" s="15">
        <f>G$22*'Rates (2)'!G69</f>
        <v>48.913043478260875</v>
      </c>
      <c r="H69" s="15">
        <f>H$22*'Rates (2)'!H69</f>
        <v>79.729729729729726</v>
      </c>
      <c r="I69" s="15">
        <f>I$22*'Rates (2)'!I69</f>
        <v>131.79107755294478</v>
      </c>
      <c r="J69" s="15">
        <f>J$22*'Rates (2)'!J69</f>
        <v>188.23529411764707</v>
      </c>
      <c r="K69" s="15">
        <f>K$22*'Rates (2)'!K69</f>
        <v>50</v>
      </c>
      <c r="L69" s="15">
        <f>L$22*'Rates (2)'!L69</f>
        <v>117.72486772486774</v>
      </c>
      <c r="M69" s="15">
        <f>M$22*'Rates (2)'!M69</f>
        <v>198.93048128342247</v>
      </c>
      <c r="N69" s="15">
        <f>N$22*'Rates (2)'!N69</f>
        <v>23.076923076923073</v>
      </c>
      <c r="O69" s="15">
        <f>O$22*'Rates (2)'!O69</f>
        <v>65.963855421686745</v>
      </c>
      <c r="P69" s="15">
        <f>P$22*'Rates (2)'!P69</f>
        <v>115.50802139037432</v>
      </c>
      <c r="Q69" s="15">
        <f>Q$2*'Rates (2)'!Q69</f>
        <v>66.5</v>
      </c>
      <c r="R69" s="15">
        <f>R$2*'Rates (2)'!R69</f>
        <v>204.9435</v>
      </c>
      <c r="S69" s="15">
        <f>S$2*'Rates (2)'!S69</f>
        <v>342</v>
      </c>
    </row>
    <row r="70" spans="1:19" x14ac:dyDescent="0.25">
      <c r="A70" s="3">
        <v>2098</v>
      </c>
      <c r="B70" s="15">
        <f>B$22*'Rates (2)'!B70</f>
        <v>66.666666666666657</v>
      </c>
      <c r="C70" s="15">
        <f>C$22*'Rates (2)'!C70</f>
        <v>179.99999999999997</v>
      </c>
      <c r="D70" s="15">
        <f>D$22*'Rates (2)'!D70</f>
        <v>300</v>
      </c>
      <c r="E70" s="15">
        <f>E$22*'Rates (2)'!E70</f>
        <v>4.166666666666667</v>
      </c>
      <c r="F70" s="15">
        <f>F$22*'Rates (2)'!F70</f>
        <v>25.328947368421058</v>
      </c>
      <c r="G70" s="15">
        <f>G$22*'Rates (2)'!G70</f>
        <v>48.913043478260875</v>
      </c>
      <c r="H70" s="15">
        <f>H$22*'Rates (2)'!H70</f>
        <v>79.729729729729726</v>
      </c>
      <c r="I70" s="15">
        <f>I$22*'Rates (2)'!I70</f>
        <v>131.79107755294478</v>
      </c>
      <c r="J70" s="15">
        <f>J$22*'Rates (2)'!J70</f>
        <v>188.23529411764707</v>
      </c>
      <c r="K70" s="15">
        <f>K$22*'Rates (2)'!K70</f>
        <v>50</v>
      </c>
      <c r="L70" s="15">
        <f>L$22*'Rates (2)'!L70</f>
        <v>117.72486772486774</v>
      </c>
      <c r="M70" s="15">
        <f>M$22*'Rates (2)'!M70</f>
        <v>198.93048128342247</v>
      </c>
      <c r="N70" s="15">
        <f>N$22*'Rates (2)'!N70</f>
        <v>23.076923076923073</v>
      </c>
      <c r="O70" s="15">
        <f>O$22*'Rates (2)'!O70</f>
        <v>65.963855421686745</v>
      </c>
      <c r="P70" s="15">
        <f>P$22*'Rates (2)'!P70</f>
        <v>115.50802139037432</v>
      </c>
      <c r="Q70" s="15">
        <f>Q$2*'Rates (2)'!Q70</f>
        <v>66.5</v>
      </c>
      <c r="R70" s="15">
        <f>R$2*'Rates (2)'!R70</f>
        <v>204.9435</v>
      </c>
      <c r="S70" s="15">
        <f>S$2*'Rates (2)'!S70</f>
        <v>342</v>
      </c>
    </row>
    <row r="71" spans="1:19" x14ac:dyDescent="0.25">
      <c r="A71" s="3">
        <v>2099</v>
      </c>
      <c r="B71" s="15">
        <f>B$22*'Rates (2)'!B71</f>
        <v>66.666666666666657</v>
      </c>
      <c r="C71" s="15">
        <f>C$22*'Rates (2)'!C71</f>
        <v>179.99999999999997</v>
      </c>
      <c r="D71" s="15">
        <f>D$22*'Rates (2)'!D71</f>
        <v>300</v>
      </c>
      <c r="E71" s="15">
        <f>E$22*'Rates (2)'!E71</f>
        <v>4.166666666666667</v>
      </c>
      <c r="F71" s="15">
        <f>F$22*'Rates (2)'!F71</f>
        <v>25.328947368421058</v>
      </c>
      <c r="G71" s="15">
        <f>G$22*'Rates (2)'!G71</f>
        <v>48.913043478260875</v>
      </c>
      <c r="H71" s="15">
        <f>H$22*'Rates (2)'!H71</f>
        <v>79.729729729729726</v>
      </c>
      <c r="I71" s="15">
        <f>I$22*'Rates (2)'!I71</f>
        <v>131.79107755294478</v>
      </c>
      <c r="J71" s="15">
        <f>J$22*'Rates (2)'!J71</f>
        <v>188.23529411764707</v>
      </c>
      <c r="K71" s="15">
        <f>K$22*'Rates (2)'!K71</f>
        <v>50</v>
      </c>
      <c r="L71" s="15">
        <f>L$22*'Rates (2)'!L71</f>
        <v>117.72486772486774</v>
      </c>
      <c r="M71" s="15">
        <f>M$22*'Rates (2)'!M71</f>
        <v>198.93048128342247</v>
      </c>
      <c r="N71" s="15">
        <f>N$22*'Rates (2)'!N71</f>
        <v>23.076923076923073</v>
      </c>
      <c r="O71" s="15">
        <f>O$22*'Rates (2)'!O71</f>
        <v>65.963855421686745</v>
      </c>
      <c r="P71" s="15">
        <f>P$22*'Rates (2)'!P71</f>
        <v>115.50802139037432</v>
      </c>
      <c r="Q71" s="15">
        <f>Q$2*'Rates (2)'!Q71</f>
        <v>66.5</v>
      </c>
      <c r="R71" s="15">
        <f>R$2*'Rates (2)'!R71</f>
        <v>204.9435</v>
      </c>
      <c r="S71" s="15">
        <f>S$2*'Rates (2)'!S71</f>
        <v>342</v>
      </c>
    </row>
    <row r="72" spans="1:19" x14ac:dyDescent="0.25">
      <c r="A72" s="3">
        <v>2100</v>
      </c>
      <c r="B72" s="15">
        <f>B$22*'Rates (2)'!B72</f>
        <v>66.666666666666657</v>
      </c>
      <c r="C72" s="15">
        <f>C$22*'Rates (2)'!C72</f>
        <v>179.99999999999997</v>
      </c>
      <c r="D72" s="15">
        <f>D$22*'Rates (2)'!D72</f>
        <v>300</v>
      </c>
      <c r="E72" s="15">
        <f>E$22*'Rates (2)'!E72</f>
        <v>4.166666666666667</v>
      </c>
      <c r="F72" s="15">
        <f>F$22*'Rates (2)'!F72</f>
        <v>25.328947368421058</v>
      </c>
      <c r="G72" s="15">
        <f>G$22*'Rates (2)'!G72</f>
        <v>48.913043478260875</v>
      </c>
      <c r="H72" s="15">
        <f>H$22*'Rates (2)'!H72</f>
        <v>79.729729729729726</v>
      </c>
      <c r="I72" s="15">
        <f>I$22*'Rates (2)'!I72</f>
        <v>131.79107755294478</v>
      </c>
      <c r="J72" s="15">
        <f>J$22*'Rates (2)'!J72</f>
        <v>188.23529411764707</v>
      </c>
      <c r="K72" s="15">
        <f>K$22*'Rates (2)'!K72</f>
        <v>50</v>
      </c>
      <c r="L72" s="15">
        <f>L$22*'Rates (2)'!L72</f>
        <v>117.72486772486774</v>
      </c>
      <c r="M72" s="15">
        <f>M$22*'Rates (2)'!M72</f>
        <v>198.93048128342247</v>
      </c>
      <c r="N72" s="15">
        <f>N$22*'Rates (2)'!N72</f>
        <v>23.076923076923073</v>
      </c>
      <c r="O72" s="15">
        <f>O$22*'Rates (2)'!O72</f>
        <v>65.963855421686745</v>
      </c>
      <c r="P72" s="15">
        <f>P$22*'Rates (2)'!P72</f>
        <v>115.50802139037432</v>
      </c>
      <c r="Q72" s="15">
        <f>Q$2*'Rates (2)'!Q72</f>
        <v>66.5</v>
      </c>
      <c r="R72" s="15">
        <f>R$2*'Rates (2)'!R72</f>
        <v>204.9435</v>
      </c>
      <c r="S72" s="15">
        <f>S$2*'Rates (2)'!S72</f>
        <v>342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"/>
  <sheetViews>
    <sheetView zoomScale="87" workbookViewId="0">
      <pane xSplit="1" topLeftCell="B1" activePane="topRight" state="frozen"/>
      <selection pane="topRight" activeCell="G19" sqref="G19"/>
    </sheetView>
  </sheetViews>
  <sheetFormatPr defaultRowHeight="15" x14ac:dyDescent="0.25"/>
  <cols>
    <col min="1" max="1" width="12.85546875" customWidth="1"/>
    <col min="2" max="2" width="12.7109375" bestFit="1" customWidth="1"/>
    <col min="3" max="3" width="16.28515625" bestFit="1" customWidth="1"/>
    <col min="4" max="4" width="13.140625" bestFit="1" customWidth="1"/>
    <col min="5" max="5" width="8.5703125" customWidth="1"/>
    <col min="6" max="6" width="12.28515625" customWidth="1"/>
    <col min="7" max="7" width="12.42578125" customWidth="1"/>
    <col min="8" max="8" width="13" customWidth="1"/>
    <col min="9" max="9" width="13.7109375" bestFit="1" customWidth="1"/>
    <col min="10" max="10" width="12.42578125" customWidth="1"/>
    <col min="11" max="11" width="9.42578125" customWidth="1"/>
    <col min="12" max="12" width="11.28515625" bestFit="1" customWidth="1"/>
    <col min="13" max="13" width="9.5703125" customWidth="1"/>
    <col min="14" max="14" width="10" customWidth="1"/>
    <col min="15" max="15" width="10.7109375" bestFit="1" customWidth="1"/>
    <col min="16" max="16" width="9.85546875" customWidth="1"/>
    <col min="17" max="17" width="10" customWidth="1"/>
    <col min="18" max="18" width="12.140625" bestFit="1" customWidth="1"/>
    <col min="19" max="19" width="9" bestFit="1" customWidth="1"/>
  </cols>
  <sheetData>
    <row r="1" spans="1:19" s="3" customFormat="1" ht="30" customHeight="1" x14ac:dyDescent="0.25">
      <c r="A1" s="10" t="s">
        <v>0</v>
      </c>
      <c r="B1" s="18" t="s">
        <v>19</v>
      </c>
      <c r="C1" s="18" t="s">
        <v>20</v>
      </c>
      <c r="D1" s="18" t="s">
        <v>21</v>
      </c>
      <c r="E1" s="18" t="s">
        <v>1</v>
      </c>
      <c r="F1" s="18" t="s">
        <v>2</v>
      </c>
      <c r="G1" s="18" t="s">
        <v>3</v>
      </c>
      <c r="H1" s="18" t="s">
        <v>4</v>
      </c>
      <c r="I1" s="18" t="s">
        <v>5</v>
      </c>
      <c r="J1" s="18" t="s">
        <v>6</v>
      </c>
      <c r="K1" s="19" t="s">
        <v>7</v>
      </c>
      <c r="L1" s="19" t="s">
        <v>8</v>
      </c>
      <c r="M1" s="19" t="s">
        <v>9</v>
      </c>
      <c r="N1" s="18" t="s">
        <v>10</v>
      </c>
      <c r="O1" s="18" t="s">
        <v>11</v>
      </c>
      <c r="P1" s="18" t="s">
        <v>12</v>
      </c>
      <c r="Q1" s="18" t="s">
        <v>13</v>
      </c>
      <c r="R1" s="18" t="s">
        <v>14</v>
      </c>
      <c r="S1" s="18" t="s">
        <v>15</v>
      </c>
    </row>
    <row r="2" spans="1:19" s="3" customFormat="1" x14ac:dyDescent="0.25">
      <c r="A2" s="3">
        <v>2030</v>
      </c>
      <c r="B2" s="9">
        <v>2800000</v>
      </c>
      <c r="C2" s="9">
        <v>10800000</v>
      </c>
      <c r="D2" s="9">
        <v>30800000</v>
      </c>
      <c r="E2" s="23">
        <v>0</v>
      </c>
      <c r="F2" s="16">
        <v>6800000</v>
      </c>
      <c r="G2" s="16">
        <v>10800000</v>
      </c>
      <c r="H2" s="9">
        <v>2800000</v>
      </c>
      <c r="I2" s="9">
        <v>10800000</v>
      </c>
      <c r="J2" s="9">
        <v>20800000</v>
      </c>
      <c r="K2" s="8">
        <v>3800000</v>
      </c>
      <c r="L2" s="8">
        <v>4800000</v>
      </c>
      <c r="M2" s="8">
        <v>8800000</v>
      </c>
      <c r="N2" s="8">
        <v>1000000</v>
      </c>
      <c r="O2" s="8">
        <v>5000000</v>
      </c>
      <c r="P2" s="8">
        <v>10000000</v>
      </c>
      <c r="Q2" s="8">
        <v>1000000</v>
      </c>
      <c r="R2" s="8">
        <v>5000000</v>
      </c>
      <c r="S2" s="8">
        <v>10000000</v>
      </c>
    </row>
    <row r="3" spans="1:19" s="3" customFormat="1" x14ac:dyDescent="0.25">
      <c r="A3" s="3">
        <v>2031</v>
      </c>
      <c r="B3" s="9">
        <v>50000000</v>
      </c>
      <c r="C3" s="9">
        <v>150000000</v>
      </c>
      <c r="D3" s="9">
        <v>400000000</v>
      </c>
      <c r="E3">
        <v>0</v>
      </c>
      <c r="F3" s="16">
        <v>50000000</v>
      </c>
      <c r="G3" s="16">
        <v>100000000</v>
      </c>
      <c r="H3" s="9">
        <v>50000000</v>
      </c>
      <c r="I3" s="9">
        <v>100000000</v>
      </c>
      <c r="J3" s="9">
        <v>300000000</v>
      </c>
      <c r="K3" s="8">
        <v>20000000</v>
      </c>
      <c r="L3" s="8">
        <v>50000000</v>
      </c>
      <c r="M3" s="8">
        <v>150000000</v>
      </c>
      <c r="N3" s="11">
        <v>37710000</v>
      </c>
      <c r="O3" s="11">
        <v>56810000</v>
      </c>
      <c r="P3" s="11">
        <v>75920000</v>
      </c>
      <c r="Q3" s="11">
        <v>38500000</v>
      </c>
      <c r="R3" s="11">
        <v>74000000</v>
      </c>
      <c r="S3" s="11">
        <v>108400000</v>
      </c>
    </row>
    <row r="4" spans="1:19" s="3" customFormat="1" x14ac:dyDescent="0.25">
      <c r="A4" s="3">
        <v>2032</v>
      </c>
      <c r="B4" s="9">
        <v>50000000</v>
      </c>
      <c r="C4" s="9">
        <v>150000000</v>
      </c>
      <c r="D4" s="9">
        <v>400000000</v>
      </c>
      <c r="E4">
        <v>0</v>
      </c>
      <c r="F4" s="16">
        <v>50000000</v>
      </c>
      <c r="G4" s="16">
        <v>100000000</v>
      </c>
      <c r="H4" s="9">
        <v>50000000</v>
      </c>
      <c r="I4" s="9">
        <v>100000000</v>
      </c>
      <c r="J4" s="9">
        <v>300000000</v>
      </c>
      <c r="K4" s="8">
        <v>20000000</v>
      </c>
      <c r="L4" s="8">
        <v>50000000</v>
      </c>
      <c r="M4" s="8">
        <v>150000000</v>
      </c>
      <c r="N4" s="11">
        <v>37710000</v>
      </c>
      <c r="O4" s="11">
        <v>56810000</v>
      </c>
      <c r="P4" s="11">
        <v>75920000</v>
      </c>
      <c r="Q4" s="11">
        <v>38500000</v>
      </c>
      <c r="R4" s="11">
        <v>74000000</v>
      </c>
      <c r="S4" s="11">
        <v>108400000</v>
      </c>
    </row>
    <row r="5" spans="1:19" s="3" customFormat="1" x14ac:dyDescent="0.25">
      <c r="A5" s="3">
        <v>2033</v>
      </c>
      <c r="B5" s="9">
        <v>50000000</v>
      </c>
      <c r="C5" s="9">
        <v>150000000</v>
      </c>
      <c r="D5" s="9">
        <v>400000000</v>
      </c>
      <c r="E5">
        <v>0</v>
      </c>
      <c r="F5" s="16">
        <v>50000000</v>
      </c>
      <c r="G5" s="16">
        <v>100000000</v>
      </c>
      <c r="H5" s="9">
        <v>50000000</v>
      </c>
      <c r="I5" s="9">
        <v>100000000</v>
      </c>
      <c r="J5" s="9">
        <v>300000000</v>
      </c>
      <c r="K5" s="8">
        <v>20000000</v>
      </c>
      <c r="L5" s="8">
        <v>50000000</v>
      </c>
      <c r="M5" s="8">
        <v>150000000</v>
      </c>
      <c r="N5" s="11">
        <v>37710000</v>
      </c>
      <c r="O5" s="11">
        <v>56810000</v>
      </c>
      <c r="P5" s="11">
        <v>75920000</v>
      </c>
      <c r="Q5" s="11">
        <v>38500000</v>
      </c>
      <c r="R5" s="11">
        <v>74000000</v>
      </c>
      <c r="S5" s="11">
        <v>108400000</v>
      </c>
    </row>
    <row r="6" spans="1:19" x14ac:dyDescent="0.25">
      <c r="A6" s="3">
        <v>2034</v>
      </c>
      <c r="B6" s="9">
        <v>50000000</v>
      </c>
      <c r="C6" s="9">
        <v>150000000</v>
      </c>
      <c r="D6" s="9">
        <v>400000000</v>
      </c>
      <c r="E6">
        <v>0</v>
      </c>
      <c r="F6" s="16">
        <v>50000000</v>
      </c>
      <c r="G6" s="16">
        <v>100000000</v>
      </c>
      <c r="H6" s="9">
        <v>50000000</v>
      </c>
      <c r="I6" s="9">
        <v>100000000</v>
      </c>
      <c r="J6" s="9">
        <v>300000000</v>
      </c>
      <c r="K6" s="8">
        <v>20000000</v>
      </c>
      <c r="L6" s="8">
        <v>50000000</v>
      </c>
      <c r="M6" s="8">
        <v>150000000</v>
      </c>
      <c r="N6" s="11">
        <v>37710000</v>
      </c>
      <c r="O6" s="11">
        <v>56810000</v>
      </c>
      <c r="P6" s="11">
        <v>75920000</v>
      </c>
      <c r="Q6" s="11">
        <v>38500000</v>
      </c>
      <c r="R6" s="11">
        <v>74000000</v>
      </c>
      <c r="S6" s="11">
        <v>108400000</v>
      </c>
    </row>
    <row r="7" spans="1:19" x14ac:dyDescent="0.25">
      <c r="A7" s="3">
        <v>2035</v>
      </c>
      <c r="B7" s="9">
        <v>50000000</v>
      </c>
      <c r="C7" s="9">
        <v>150000000</v>
      </c>
      <c r="D7" s="9">
        <v>400000000</v>
      </c>
      <c r="E7">
        <v>0</v>
      </c>
      <c r="F7" s="16">
        <v>50000000</v>
      </c>
      <c r="G7" s="16">
        <v>100000000</v>
      </c>
      <c r="H7" s="9">
        <v>50000000</v>
      </c>
      <c r="I7" s="9">
        <v>100000000</v>
      </c>
      <c r="J7" s="9">
        <v>300000000</v>
      </c>
      <c r="K7" s="8">
        <v>20000000</v>
      </c>
      <c r="L7" s="8">
        <v>50000000</v>
      </c>
      <c r="M7" s="8">
        <v>150000000</v>
      </c>
      <c r="N7" s="11">
        <v>37710000</v>
      </c>
      <c r="O7" s="11">
        <v>56810000</v>
      </c>
      <c r="P7" s="11">
        <v>75920000</v>
      </c>
      <c r="Q7" s="11">
        <v>38500000</v>
      </c>
      <c r="R7" s="11">
        <v>74000000</v>
      </c>
      <c r="S7" s="11">
        <v>108400000</v>
      </c>
    </row>
    <row r="8" spans="1:19" x14ac:dyDescent="0.25">
      <c r="A8" s="3">
        <v>2036</v>
      </c>
      <c r="B8" s="9">
        <v>50000000</v>
      </c>
      <c r="C8" s="9">
        <v>150000000</v>
      </c>
      <c r="D8" s="9">
        <v>400000000</v>
      </c>
      <c r="E8">
        <v>0</v>
      </c>
      <c r="F8" s="16">
        <v>50000000</v>
      </c>
      <c r="G8" s="16">
        <v>100000000</v>
      </c>
      <c r="H8" s="9">
        <v>50000000</v>
      </c>
      <c r="I8" s="9">
        <v>100000000</v>
      </c>
      <c r="J8" s="9">
        <v>300000000</v>
      </c>
      <c r="K8" s="8">
        <v>20000000</v>
      </c>
      <c r="L8" s="8">
        <v>50000000</v>
      </c>
      <c r="M8" s="8">
        <v>150000000</v>
      </c>
      <c r="N8" s="11">
        <v>37710000</v>
      </c>
      <c r="O8" s="11">
        <v>56810000</v>
      </c>
      <c r="P8" s="11">
        <v>75920000</v>
      </c>
      <c r="Q8" s="11">
        <v>38500000</v>
      </c>
      <c r="R8" s="11">
        <v>74000000</v>
      </c>
      <c r="S8" s="11">
        <v>108400000</v>
      </c>
    </row>
    <row r="9" spans="1:19" x14ac:dyDescent="0.25">
      <c r="A9" s="3">
        <v>2037</v>
      </c>
      <c r="B9" s="9">
        <v>50000000</v>
      </c>
      <c r="C9" s="9">
        <v>150000000</v>
      </c>
      <c r="D9" s="9">
        <v>400000000</v>
      </c>
      <c r="E9">
        <v>0</v>
      </c>
      <c r="F9" s="16">
        <v>50000000</v>
      </c>
      <c r="G9" s="16">
        <v>100000000</v>
      </c>
      <c r="H9" s="9">
        <v>50000000</v>
      </c>
      <c r="I9" s="9">
        <v>100000000</v>
      </c>
      <c r="J9" s="9">
        <v>300000000</v>
      </c>
      <c r="K9" s="8">
        <v>20000000</v>
      </c>
      <c r="L9" s="8">
        <v>50000000</v>
      </c>
      <c r="M9" s="8">
        <v>150000000</v>
      </c>
      <c r="N9" s="11">
        <v>37710000</v>
      </c>
      <c r="O9" s="11">
        <v>56810000</v>
      </c>
      <c r="P9" s="11">
        <v>75920000</v>
      </c>
      <c r="Q9" s="11">
        <v>38500000</v>
      </c>
      <c r="R9" s="11">
        <v>74000000</v>
      </c>
      <c r="S9" s="11">
        <v>108400000</v>
      </c>
    </row>
    <row r="10" spans="1:19" x14ac:dyDescent="0.25">
      <c r="A10" s="3">
        <v>2038</v>
      </c>
      <c r="B10" s="9">
        <v>50000000</v>
      </c>
      <c r="C10" s="9">
        <v>150000000</v>
      </c>
      <c r="D10" s="9">
        <v>400000000</v>
      </c>
      <c r="E10">
        <v>0</v>
      </c>
      <c r="F10" s="16">
        <v>50000000</v>
      </c>
      <c r="G10" s="16">
        <v>100000000</v>
      </c>
      <c r="H10" s="9">
        <v>50000000</v>
      </c>
      <c r="I10" s="9">
        <v>100000000</v>
      </c>
      <c r="J10" s="9">
        <v>300000000</v>
      </c>
      <c r="K10" s="8">
        <v>20000000</v>
      </c>
      <c r="L10" s="8">
        <v>50000000</v>
      </c>
      <c r="M10" s="8">
        <v>150000000</v>
      </c>
      <c r="N10" s="11">
        <v>37710000</v>
      </c>
      <c r="O10" s="11">
        <v>56810000</v>
      </c>
      <c r="P10" s="11">
        <v>75920000</v>
      </c>
      <c r="Q10" s="11">
        <v>38500000</v>
      </c>
      <c r="R10" s="11">
        <v>74000000</v>
      </c>
      <c r="S10" s="11">
        <v>108400000</v>
      </c>
    </row>
    <row r="11" spans="1:19" x14ac:dyDescent="0.25">
      <c r="A11" s="3">
        <v>2039</v>
      </c>
      <c r="B11" s="9">
        <v>50000000</v>
      </c>
      <c r="C11" s="9">
        <v>150000000</v>
      </c>
      <c r="D11" s="9">
        <v>400000000</v>
      </c>
      <c r="E11">
        <v>0</v>
      </c>
      <c r="F11" s="16">
        <v>50000000</v>
      </c>
      <c r="G11" s="16">
        <v>100000000</v>
      </c>
      <c r="H11" s="9">
        <v>50000000</v>
      </c>
      <c r="I11" s="9">
        <v>100000000</v>
      </c>
      <c r="J11" s="9">
        <v>300000000</v>
      </c>
      <c r="K11" s="8">
        <v>20000000</v>
      </c>
      <c r="L11" s="8">
        <v>50000000</v>
      </c>
      <c r="M11" s="8">
        <v>150000000</v>
      </c>
      <c r="N11" s="11">
        <v>37710000</v>
      </c>
      <c r="O11" s="11">
        <v>56810000</v>
      </c>
      <c r="P11" s="11">
        <v>75920000</v>
      </c>
      <c r="Q11" s="11">
        <v>38500000</v>
      </c>
      <c r="R11" s="11">
        <v>74000000</v>
      </c>
      <c r="S11" s="11">
        <v>108400000</v>
      </c>
    </row>
    <row r="12" spans="1:19" x14ac:dyDescent="0.25">
      <c r="A12" s="3">
        <v>2040</v>
      </c>
      <c r="B12" s="9">
        <v>50000000</v>
      </c>
      <c r="C12" s="9">
        <v>150000000</v>
      </c>
      <c r="D12" s="9">
        <v>400000000</v>
      </c>
      <c r="E12">
        <v>0</v>
      </c>
      <c r="F12" s="16">
        <v>50000000</v>
      </c>
      <c r="G12" s="16">
        <v>100000000</v>
      </c>
      <c r="H12" s="9">
        <v>50000000</v>
      </c>
      <c r="I12" s="9">
        <v>100000000</v>
      </c>
      <c r="J12" s="9">
        <v>300000000</v>
      </c>
      <c r="K12" s="8">
        <v>20000000</v>
      </c>
      <c r="L12" s="8">
        <v>50000000</v>
      </c>
      <c r="M12" s="8">
        <v>150000000</v>
      </c>
      <c r="N12" s="11">
        <v>37710000</v>
      </c>
      <c r="O12" s="11">
        <v>56810000</v>
      </c>
      <c r="P12" s="11">
        <v>75920000</v>
      </c>
      <c r="Q12" s="11">
        <v>38500000</v>
      </c>
      <c r="R12" s="11">
        <v>74000000</v>
      </c>
      <c r="S12" s="11">
        <v>108400000</v>
      </c>
    </row>
    <row r="13" spans="1:19" x14ac:dyDescent="0.25">
      <c r="A13" s="3">
        <v>2041</v>
      </c>
      <c r="B13" s="9">
        <v>50000000</v>
      </c>
      <c r="C13" s="9">
        <v>150000000</v>
      </c>
      <c r="D13" s="9">
        <v>400000000</v>
      </c>
      <c r="E13">
        <v>0</v>
      </c>
      <c r="F13" s="16">
        <v>50000000</v>
      </c>
      <c r="G13" s="16">
        <v>100000000</v>
      </c>
      <c r="H13" s="9">
        <v>50000000</v>
      </c>
      <c r="I13" s="9">
        <v>100000000</v>
      </c>
      <c r="J13" s="9">
        <v>300000000</v>
      </c>
      <c r="K13" s="8">
        <v>20000000</v>
      </c>
      <c r="L13" s="8">
        <v>50000000</v>
      </c>
      <c r="M13" s="8">
        <v>150000000</v>
      </c>
      <c r="N13" s="11">
        <v>37710000</v>
      </c>
      <c r="O13" s="11">
        <v>56810000</v>
      </c>
      <c r="P13" s="11">
        <v>75920000</v>
      </c>
      <c r="Q13" s="11">
        <v>38500000</v>
      </c>
      <c r="R13" s="11">
        <v>74000000</v>
      </c>
      <c r="S13" s="11">
        <v>108400000</v>
      </c>
    </row>
    <row r="14" spans="1:19" x14ac:dyDescent="0.25">
      <c r="A14" s="3">
        <v>2042</v>
      </c>
      <c r="B14" s="9">
        <v>50000000</v>
      </c>
      <c r="C14" s="9">
        <v>150000000</v>
      </c>
      <c r="D14" s="9">
        <v>400000000</v>
      </c>
      <c r="E14">
        <v>0</v>
      </c>
      <c r="F14" s="16">
        <v>50000000</v>
      </c>
      <c r="G14" s="16">
        <v>100000000</v>
      </c>
      <c r="H14" s="9">
        <v>50000000</v>
      </c>
      <c r="I14" s="9">
        <v>100000000</v>
      </c>
      <c r="J14" s="9">
        <v>300000000</v>
      </c>
      <c r="K14" s="8">
        <v>20000000</v>
      </c>
      <c r="L14" s="8">
        <v>50000000</v>
      </c>
      <c r="M14" s="8">
        <v>150000000</v>
      </c>
      <c r="N14" s="11">
        <v>37710000</v>
      </c>
      <c r="O14" s="11">
        <v>56810000</v>
      </c>
      <c r="P14" s="11">
        <v>75920000</v>
      </c>
      <c r="Q14" s="11">
        <v>38500000</v>
      </c>
      <c r="R14" s="11">
        <v>74000000</v>
      </c>
      <c r="S14" s="11">
        <v>108400000</v>
      </c>
    </row>
    <row r="15" spans="1:19" x14ac:dyDescent="0.25">
      <c r="A15" s="3">
        <v>2043</v>
      </c>
      <c r="B15" s="9">
        <v>50000000</v>
      </c>
      <c r="C15" s="9">
        <v>150000000</v>
      </c>
      <c r="D15" s="9">
        <v>400000000</v>
      </c>
      <c r="E15">
        <v>0</v>
      </c>
      <c r="F15" s="16">
        <v>50000000</v>
      </c>
      <c r="G15" s="16">
        <v>100000000</v>
      </c>
      <c r="H15" s="9">
        <v>50000000</v>
      </c>
      <c r="I15" s="9">
        <v>100000000</v>
      </c>
      <c r="J15" s="9">
        <v>300000000</v>
      </c>
      <c r="K15" s="8">
        <v>20000000</v>
      </c>
      <c r="L15" s="8">
        <v>50000000</v>
      </c>
      <c r="M15" s="8">
        <v>150000000</v>
      </c>
      <c r="N15" s="11">
        <v>37710000</v>
      </c>
      <c r="O15" s="11">
        <v>56810000</v>
      </c>
      <c r="P15" s="11">
        <v>75920000</v>
      </c>
      <c r="Q15" s="11">
        <v>38500000</v>
      </c>
      <c r="R15" s="11">
        <v>74000000</v>
      </c>
      <c r="S15" s="11">
        <v>108400000</v>
      </c>
    </row>
    <row r="16" spans="1:19" x14ac:dyDescent="0.25">
      <c r="A16" s="3">
        <v>2044</v>
      </c>
      <c r="B16" s="9">
        <v>50000000</v>
      </c>
      <c r="C16" s="9">
        <v>150000000</v>
      </c>
      <c r="D16" s="9">
        <v>400000000</v>
      </c>
      <c r="E16">
        <v>0</v>
      </c>
      <c r="F16" s="16">
        <v>50000000</v>
      </c>
      <c r="G16" s="16">
        <v>100000000</v>
      </c>
      <c r="H16" s="9">
        <v>50000000</v>
      </c>
      <c r="I16" s="9">
        <v>100000000</v>
      </c>
      <c r="J16" s="9">
        <v>300000000</v>
      </c>
      <c r="K16" s="8">
        <v>20000000</v>
      </c>
      <c r="L16" s="8">
        <v>50000000</v>
      </c>
      <c r="M16" s="8">
        <v>150000000</v>
      </c>
      <c r="N16" s="11">
        <v>37710000</v>
      </c>
      <c r="O16" s="11">
        <v>56810000</v>
      </c>
      <c r="P16" s="11">
        <v>75920000</v>
      </c>
      <c r="Q16" s="11">
        <v>38500000</v>
      </c>
      <c r="R16" s="11">
        <v>74000000</v>
      </c>
      <c r="S16" s="11">
        <v>108400000</v>
      </c>
    </row>
    <row r="17" spans="1:19" x14ac:dyDescent="0.25">
      <c r="A17" s="3">
        <v>2045</v>
      </c>
      <c r="B17" s="9">
        <v>50000000</v>
      </c>
      <c r="C17" s="9">
        <v>150000000</v>
      </c>
      <c r="D17" s="9">
        <v>400000000</v>
      </c>
      <c r="E17">
        <v>0</v>
      </c>
      <c r="F17" s="16">
        <v>50000000</v>
      </c>
      <c r="G17" s="16">
        <v>100000000</v>
      </c>
      <c r="H17" s="9">
        <v>50000000</v>
      </c>
      <c r="I17" s="9">
        <v>100000000</v>
      </c>
      <c r="J17" s="9">
        <v>300000000</v>
      </c>
      <c r="K17" s="8">
        <v>20000000</v>
      </c>
      <c r="L17" s="8">
        <v>50000000</v>
      </c>
      <c r="M17" s="8">
        <v>150000000</v>
      </c>
      <c r="N17" s="11">
        <v>37710000</v>
      </c>
      <c r="O17" s="11">
        <v>56810000</v>
      </c>
      <c r="P17" s="11">
        <v>75920000</v>
      </c>
      <c r="Q17" s="11">
        <v>38500000</v>
      </c>
      <c r="R17" s="11">
        <v>74000000</v>
      </c>
      <c r="S17" s="11">
        <v>108400000</v>
      </c>
    </row>
    <row r="18" spans="1:19" x14ac:dyDescent="0.25">
      <c r="A18" s="3">
        <v>2046</v>
      </c>
      <c r="B18" s="9">
        <v>50000000</v>
      </c>
      <c r="C18" s="9">
        <v>150000000</v>
      </c>
      <c r="D18" s="9">
        <v>400000000</v>
      </c>
      <c r="E18">
        <v>0</v>
      </c>
      <c r="F18" s="16">
        <v>50000000</v>
      </c>
      <c r="G18" s="16">
        <v>100000000</v>
      </c>
      <c r="H18" s="9">
        <v>50000000</v>
      </c>
      <c r="I18" s="9">
        <v>100000000</v>
      </c>
      <c r="J18" s="9">
        <v>300000000</v>
      </c>
      <c r="K18" s="8">
        <v>20000000</v>
      </c>
      <c r="L18" s="8">
        <v>50000000</v>
      </c>
      <c r="M18" s="8">
        <v>150000000</v>
      </c>
      <c r="N18" s="11">
        <v>37710000</v>
      </c>
      <c r="O18" s="11">
        <v>56810000</v>
      </c>
      <c r="P18" s="11">
        <v>75920000</v>
      </c>
      <c r="Q18" s="11">
        <v>38500000</v>
      </c>
      <c r="R18" s="11">
        <v>74000000</v>
      </c>
      <c r="S18" s="11">
        <v>108400000</v>
      </c>
    </row>
    <row r="19" spans="1:19" x14ac:dyDescent="0.25">
      <c r="A19" s="3">
        <v>2047</v>
      </c>
      <c r="B19" s="9">
        <v>50000000</v>
      </c>
      <c r="C19" s="9">
        <v>150000000</v>
      </c>
      <c r="D19" s="9">
        <v>400000000</v>
      </c>
      <c r="E19">
        <v>0</v>
      </c>
      <c r="F19" s="16">
        <v>50000000</v>
      </c>
      <c r="G19" s="16">
        <v>100000000</v>
      </c>
      <c r="H19" s="9">
        <v>50000000</v>
      </c>
      <c r="I19" s="9">
        <v>100000000</v>
      </c>
      <c r="J19" s="9">
        <v>300000000</v>
      </c>
      <c r="K19" s="8">
        <v>20000000</v>
      </c>
      <c r="L19" s="8">
        <v>50000000</v>
      </c>
      <c r="M19" s="8">
        <v>150000000</v>
      </c>
      <c r="N19" s="11">
        <v>37710000</v>
      </c>
      <c r="O19" s="11">
        <v>56810000</v>
      </c>
      <c r="P19" s="11">
        <v>75920000</v>
      </c>
      <c r="Q19" s="11">
        <v>38500000</v>
      </c>
      <c r="R19" s="11">
        <v>74000000</v>
      </c>
      <c r="S19" s="11">
        <v>108400000</v>
      </c>
    </row>
    <row r="20" spans="1:19" x14ac:dyDescent="0.25">
      <c r="A20" s="3">
        <v>2048</v>
      </c>
      <c r="B20" s="9">
        <v>50000000</v>
      </c>
      <c r="C20" s="9">
        <v>150000000</v>
      </c>
      <c r="D20" s="9">
        <v>400000000</v>
      </c>
      <c r="E20">
        <v>0</v>
      </c>
      <c r="F20" s="16">
        <v>50000000</v>
      </c>
      <c r="G20" s="16">
        <v>100000000</v>
      </c>
      <c r="H20" s="9">
        <v>50000000</v>
      </c>
      <c r="I20" s="9">
        <v>100000000</v>
      </c>
      <c r="J20" s="9">
        <v>300000000</v>
      </c>
      <c r="K20" s="8">
        <v>20000000</v>
      </c>
      <c r="L20" s="8">
        <v>50000000</v>
      </c>
      <c r="M20" s="8">
        <v>150000000</v>
      </c>
      <c r="N20" s="11">
        <v>37710000</v>
      </c>
      <c r="O20" s="11">
        <v>56810000</v>
      </c>
      <c r="P20" s="11">
        <v>75920000</v>
      </c>
      <c r="Q20" s="11">
        <v>38500000</v>
      </c>
      <c r="R20" s="11">
        <v>74000000</v>
      </c>
      <c r="S20" s="11">
        <v>108400000</v>
      </c>
    </row>
    <row r="21" spans="1:19" x14ac:dyDescent="0.25">
      <c r="A21" s="3">
        <v>2049</v>
      </c>
      <c r="B21" s="9">
        <v>50000000</v>
      </c>
      <c r="C21" s="9">
        <v>150000000</v>
      </c>
      <c r="D21" s="9">
        <v>400000000</v>
      </c>
      <c r="E21">
        <v>0</v>
      </c>
      <c r="F21" s="16">
        <v>50000000</v>
      </c>
      <c r="G21" s="16">
        <v>100000000</v>
      </c>
      <c r="H21" s="9">
        <v>50000000</v>
      </c>
      <c r="I21" s="9">
        <v>100000000</v>
      </c>
      <c r="J21" s="9">
        <v>300000000</v>
      </c>
      <c r="K21" s="8">
        <v>20000000</v>
      </c>
      <c r="L21" s="8">
        <v>50000000</v>
      </c>
      <c r="M21" s="8">
        <v>150000000</v>
      </c>
      <c r="N21" s="11">
        <v>37710000</v>
      </c>
      <c r="O21" s="11">
        <v>56810000</v>
      </c>
      <c r="P21" s="11">
        <v>75920000</v>
      </c>
      <c r="Q21" s="11">
        <v>38500000</v>
      </c>
      <c r="R21" s="11">
        <v>74000000</v>
      </c>
      <c r="S21" s="11">
        <v>108400000</v>
      </c>
    </row>
    <row r="22" spans="1:19" x14ac:dyDescent="0.25">
      <c r="A22" s="3">
        <v>2050</v>
      </c>
      <c r="B22" s="9">
        <v>50000000</v>
      </c>
      <c r="C22" s="9">
        <v>150000000</v>
      </c>
      <c r="D22" s="9">
        <v>400000000</v>
      </c>
      <c r="E22">
        <v>0</v>
      </c>
      <c r="F22" s="16">
        <v>50000000</v>
      </c>
      <c r="G22" s="16">
        <v>100000000</v>
      </c>
      <c r="H22" s="9">
        <v>50000000</v>
      </c>
      <c r="I22" s="9">
        <v>100000000</v>
      </c>
      <c r="J22" s="9">
        <v>300000000</v>
      </c>
      <c r="K22" s="8">
        <v>20000000</v>
      </c>
      <c r="L22" s="8">
        <v>50000000</v>
      </c>
      <c r="M22" s="8">
        <v>150000000</v>
      </c>
      <c r="N22" s="11">
        <v>37710000</v>
      </c>
      <c r="O22" s="11">
        <v>56810000</v>
      </c>
      <c r="P22" s="11">
        <v>75920000</v>
      </c>
      <c r="Q22" s="11">
        <v>38500000</v>
      </c>
      <c r="R22" s="11">
        <v>74000000</v>
      </c>
      <c r="S22" s="11">
        <v>108400000</v>
      </c>
    </row>
    <row r="23" spans="1:19" x14ac:dyDescent="0.25">
      <c r="A23" s="3">
        <v>2051</v>
      </c>
      <c r="B23" s="9">
        <v>50000000</v>
      </c>
      <c r="C23" s="9">
        <v>150000000</v>
      </c>
      <c r="D23" s="9">
        <v>400000000</v>
      </c>
      <c r="E23">
        <v>0</v>
      </c>
      <c r="F23" s="16">
        <v>50000000</v>
      </c>
      <c r="G23" s="16">
        <v>100000000</v>
      </c>
      <c r="H23" s="9">
        <v>50000000</v>
      </c>
      <c r="I23" s="9">
        <v>100000000</v>
      </c>
      <c r="J23" s="9">
        <v>300000000</v>
      </c>
      <c r="K23" s="8">
        <v>20000000</v>
      </c>
      <c r="L23" s="8">
        <v>50000000</v>
      </c>
      <c r="M23" s="8">
        <v>150000000</v>
      </c>
      <c r="N23" s="11">
        <v>37710000</v>
      </c>
      <c r="O23" s="11">
        <v>56810000</v>
      </c>
      <c r="P23" s="11">
        <v>75920000</v>
      </c>
      <c r="Q23" s="11">
        <v>38500000</v>
      </c>
      <c r="R23" s="11">
        <v>74000000</v>
      </c>
      <c r="S23" s="11">
        <v>108400000</v>
      </c>
    </row>
    <row r="24" spans="1:19" x14ac:dyDescent="0.25">
      <c r="A24" s="3">
        <v>2052</v>
      </c>
      <c r="B24" s="9">
        <v>50000000</v>
      </c>
      <c r="C24" s="9">
        <v>150000000</v>
      </c>
      <c r="D24" s="9">
        <v>400000000</v>
      </c>
      <c r="E24">
        <v>0</v>
      </c>
      <c r="F24" s="16">
        <v>50000000</v>
      </c>
      <c r="G24" s="16">
        <v>100000000</v>
      </c>
      <c r="H24" s="9">
        <v>50000000</v>
      </c>
      <c r="I24" s="9">
        <v>100000000</v>
      </c>
      <c r="J24" s="9">
        <v>300000000</v>
      </c>
      <c r="K24" s="8">
        <v>20000000</v>
      </c>
      <c r="L24" s="8">
        <v>50000000</v>
      </c>
      <c r="M24" s="8">
        <v>150000000</v>
      </c>
      <c r="N24" s="11">
        <v>37710000</v>
      </c>
      <c r="O24" s="11">
        <v>56810000</v>
      </c>
      <c r="P24" s="11">
        <v>75920000</v>
      </c>
      <c r="Q24" s="11">
        <v>38500000</v>
      </c>
      <c r="R24" s="11">
        <v>74000000</v>
      </c>
      <c r="S24" s="11">
        <v>108400000</v>
      </c>
    </row>
    <row r="25" spans="1:19" x14ac:dyDescent="0.25">
      <c r="A25" s="3">
        <v>2053</v>
      </c>
      <c r="B25" s="9">
        <v>50000000</v>
      </c>
      <c r="C25" s="9">
        <v>150000000</v>
      </c>
      <c r="D25" s="9">
        <v>400000000</v>
      </c>
      <c r="E25">
        <v>0</v>
      </c>
      <c r="F25" s="16">
        <v>50000000</v>
      </c>
      <c r="G25" s="16">
        <v>100000000</v>
      </c>
      <c r="H25" s="9">
        <v>50000000</v>
      </c>
      <c r="I25" s="9">
        <v>100000000</v>
      </c>
      <c r="J25" s="9">
        <v>300000000</v>
      </c>
      <c r="K25" s="8">
        <v>20000000</v>
      </c>
      <c r="L25" s="8">
        <v>50000000</v>
      </c>
      <c r="M25" s="8">
        <v>150000000</v>
      </c>
      <c r="N25" s="11">
        <v>37710000</v>
      </c>
      <c r="O25" s="11">
        <v>56810000</v>
      </c>
      <c r="P25" s="11">
        <v>75920000</v>
      </c>
      <c r="Q25" s="11">
        <v>38500000</v>
      </c>
      <c r="R25" s="11">
        <v>74000000</v>
      </c>
      <c r="S25" s="11">
        <v>108400000</v>
      </c>
    </row>
    <row r="26" spans="1:19" x14ac:dyDescent="0.25">
      <c r="A26" s="3">
        <v>2054</v>
      </c>
      <c r="B26" s="9">
        <v>50000000</v>
      </c>
      <c r="C26" s="9">
        <v>150000000</v>
      </c>
      <c r="D26" s="9">
        <v>400000000</v>
      </c>
      <c r="E26">
        <v>0</v>
      </c>
      <c r="F26" s="16">
        <v>50000000</v>
      </c>
      <c r="G26" s="16">
        <v>100000000</v>
      </c>
      <c r="H26" s="9">
        <v>50000000</v>
      </c>
      <c r="I26" s="9">
        <v>100000000</v>
      </c>
      <c r="J26" s="9">
        <v>300000000</v>
      </c>
      <c r="K26" s="8">
        <v>20000000</v>
      </c>
      <c r="L26" s="8">
        <v>50000000</v>
      </c>
      <c r="M26" s="8">
        <v>150000000</v>
      </c>
      <c r="N26" s="11">
        <v>37710000</v>
      </c>
      <c r="O26" s="11">
        <v>56810000</v>
      </c>
      <c r="P26" s="11">
        <v>75920000</v>
      </c>
      <c r="Q26" s="11">
        <v>38500000</v>
      </c>
      <c r="R26" s="11">
        <v>74000000</v>
      </c>
      <c r="S26" s="11">
        <v>108400000</v>
      </c>
    </row>
    <row r="27" spans="1:19" x14ac:dyDescent="0.25">
      <c r="A27" s="3">
        <v>2055</v>
      </c>
      <c r="B27" s="9">
        <v>50000000</v>
      </c>
      <c r="C27" s="9">
        <v>150000000</v>
      </c>
      <c r="D27" s="9">
        <v>400000000</v>
      </c>
      <c r="E27">
        <v>0</v>
      </c>
      <c r="F27" s="16">
        <v>50000000</v>
      </c>
      <c r="G27" s="16">
        <v>100000000</v>
      </c>
      <c r="H27" s="9">
        <v>50000000</v>
      </c>
      <c r="I27" s="9">
        <v>100000000</v>
      </c>
      <c r="J27" s="9">
        <v>300000000</v>
      </c>
      <c r="K27" s="8">
        <v>20000000</v>
      </c>
      <c r="L27" s="8">
        <v>50000000</v>
      </c>
      <c r="M27" s="8">
        <v>150000000</v>
      </c>
      <c r="N27" s="11">
        <v>37710000</v>
      </c>
      <c r="O27" s="11">
        <v>56810000</v>
      </c>
      <c r="P27" s="11">
        <v>75920000</v>
      </c>
      <c r="Q27" s="11">
        <v>38500000</v>
      </c>
      <c r="R27" s="11">
        <v>74000000</v>
      </c>
      <c r="S27" s="11">
        <v>108400000</v>
      </c>
    </row>
    <row r="28" spans="1:19" x14ac:dyDescent="0.25">
      <c r="A28" s="3">
        <v>2056</v>
      </c>
      <c r="B28" s="9">
        <v>50000000</v>
      </c>
      <c r="C28" s="9">
        <v>150000000</v>
      </c>
      <c r="D28" s="9">
        <v>400000000</v>
      </c>
      <c r="E28">
        <v>0</v>
      </c>
      <c r="F28" s="16">
        <v>50000000</v>
      </c>
      <c r="G28" s="16">
        <v>100000000</v>
      </c>
      <c r="H28" s="9">
        <v>50000000</v>
      </c>
      <c r="I28" s="9">
        <v>100000000</v>
      </c>
      <c r="J28" s="9">
        <v>300000000</v>
      </c>
      <c r="K28" s="8">
        <v>20000000</v>
      </c>
      <c r="L28" s="8">
        <v>50000000</v>
      </c>
      <c r="M28" s="8">
        <v>150000000</v>
      </c>
      <c r="N28" s="11">
        <v>37710000</v>
      </c>
      <c r="O28" s="11">
        <v>56810000</v>
      </c>
      <c r="P28" s="11">
        <v>75920000</v>
      </c>
      <c r="Q28" s="11">
        <v>38500000</v>
      </c>
      <c r="R28" s="11">
        <v>74000000</v>
      </c>
      <c r="S28" s="11">
        <v>108400000</v>
      </c>
    </row>
    <row r="29" spans="1:19" x14ac:dyDescent="0.25">
      <c r="A29" s="3">
        <v>2057</v>
      </c>
      <c r="B29" s="9">
        <v>50000000</v>
      </c>
      <c r="C29" s="9">
        <v>150000000</v>
      </c>
      <c r="D29" s="9">
        <v>400000000</v>
      </c>
      <c r="E29">
        <v>0</v>
      </c>
      <c r="F29" s="16">
        <v>50000000</v>
      </c>
      <c r="G29" s="16">
        <v>100000000</v>
      </c>
      <c r="H29" s="9">
        <v>50000000</v>
      </c>
      <c r="I29" s="9">
        <v>100000000</v>
      </c>
      <c r="J29" s="9">
        <v>300000000</v>
      </c>
      <c r="K29" s="8">
        <v>20000000</v>
      </c>
      <c r="L29" s="8">
        <v>50000000</v>
      </c>
      <c r="M29" s="8">
        <v>150000000</v>
      </c>
      <c r="N29" s="11">
        <v>37710000</v>
      </c>
      <c r="O29" s="11">
        <v>56810000</v>
      </c>
      <c r="P29" s="11">
        <v>75920000</v>
      </c>
      <c r="Q29" s="11">
        <v>38500000</v>
      </c>
      <c r="R29" s="11">
        <v>74000000</v>
      </c>
      <c r="S29" s="11">
        <v>108400000</v>
      </c>
    </row>
    <row r="30" spans="1:19" x14ac:dyDescent="0.25">
      <c r="A30" s="3">
        <v>2058</v>
      </c>
      <c r="B30" s="9">
        <v>50000000</v>
      </c>
      <c r="C30" s="9">
        <v>150000000</v>
      </c>
      <c r="D30" s="9">
        <v>400000000</v>
      </c>
      <c r="E30">
        <v>0</v>
      </c>
      <c r="F30" s="16">
        <v>50000000</v>
      </c>
      <c r="G30" s="16">
        <v>100000000</v>
      </c>
      <c r="H30" s="9">
        <v>50000000</v>
      </c>
      <c r="I30" s="9">
        <v>100000000</v>
      </c>
      <c r="J30" s="9">
        <v>300000000</v>
      </c>
      <c r="K30" s="8">
        <v>20000000</v>
      </c>
      <c r="L30" s="8">
        <v>50000000</v>
      </c>
      <c r="M30" s="8">
        <v>150000000</v>
      </c>
      <c r="N30" s="11">
        <v>37710000</v>
      </c>
      <c r="O30" s="11">
        <v>56810000</v>
      </c>
      <c r="P30" s="11">
        <v>75920000</v>
      </c>
      <c r="Q30" s="11">
        <v>38500000</v>
      </c>
      <c r="R30" s="11">
        <v>74000000</v>
      </c>
      <c r="S30" s="11">
        <v>108400000</v>
      </c>
    </row>
    <row r="31" spans="1:19" x14ac:dyDescent="0.25">
      <c r="A31" s="3">
        <v>2059</v>
      </c>
      <c r="B31" s="9">
        <v>50000000</v>
      </c>
      <c r="C31" s="9">
        <v>150000000</v>
      </c>
      <c r="D31" s="9">
        <v>400000000</v>
      </c>
      <c r="E31">
        <v>0</v>
      </c>
      <c r="F31" s="16">
        <v>50000000</v>
      </c>
      <c r="G31" s="16">
        <v>100000000</v>
      </c>
      <c r="H31" s="9">
        <v>50000000</v>
      </c>
      <c r="I31" s="9">
        <v>100000000</v>
      </c>
      <c r="J31" s="9">
        <v>300000000</v>
      </c>
      <c r="K31" s="8">
        <v>20000000</v>
      </c>
      <c r="L31" s="8">
        <v>50000000</v>
      </c>
      <c r="M31" s="8">
        <v>150000000</v>
      </c>
      <c r="N31" s="11">
        <v>37710000</v>
      </c>
      <c r="O31" s="11">
        <v>56810000</v>
      </c>
      <c r="P31" s="11">
        <v>75920000</v>
      </c>
      <c r="Q31" s="11">
        <v>38500000</v>
      </c>
      <c r="R31" s="11">
        <v>74000000</v>
      </c>
      <c r="S31" s="11">
        <v>108400000</v>
      </c>
    </row>
    <row r="32" spans="1:19" x14ac:dyDescent="0.25">
      <c r="A32" s="3">
        <v>2060</v>
      </c>
      <c r="B32" s="9">
        <v>50000000</v>
      </c>
      <c r="C32" s="9">
        <v>150000000</v>
      </c>
      <c r="D32" s="9">
        <v>400000000</v>
      </c>
      <c r="E32">
        <v>0</v>
      </c>
      <c r="F32" s="16">
        <v>50000000</v>
      </c>
      <c r="G32" s="16">
        <v>100000000</v>
      </c>
      <c r="H32" s="9">
        <v>50000000</v>
      </c>
      <c r="I32" s="9">
        <v>100000000</v>
      </c>
      <c r="J32" s="9">
        <v>300000000</v>
      </c>
      <c r="K32" s="8">
        <v>20000000</v>
      </c>
      <c r="L32" s="8">
        <v>50000000</v>
      </c>
      <c r="M32" s="8">
        <v>150000000</v>
      </c>
      <c r="N32" s="11">
        <v>37710000</v>
      </c>
      <c r="O32" s="11">
        <v>56810000</v>
      </c>
      <c r="P32" s="11">
        <v>75920000</v>
      </c>
      <c r="Q32" s="11">
        <v>38500000</v>
      </c>
      <c r="R32" s="11">
        <v>74000000</v>
      </c>
      <c r="S32" s="11">
        <v>108400000</v>
      </c>
    </row>
    <row r="33" spans="1:19" x14ac:dyDescent="0.25">
      <c r="A33" s="3">
        <v>2061</v>
      </c>
      <c r="B33" s="9">
        <v>50000000</v>
      </c>
      <c r="C33" s="9">
        <v>150000000</v>
      </c>
      <c r="D33" s="9">
        <v>400000000</v>
      </c>
      <c r="E33">
        <v>0</v>
      </c>
      <c r="F33" s="16">
        <v>50000000</v>
      </c>
      <c r="G33" s="16">
        <v>100000000</v>
      </c>
      <c r="H33" s="9">
        <v>50000000</v>
      </c>
      <c r="I33" s="9">
        <v>100000000</v>
      </c>
      <c r="J33" s="9">
        <v>300000000</v>
      </c>
      <c r="K33" s="8">
        <v>20000000</v>
      </c>
      <c r="L33" s="8">
        <v>50000000</v>
      </c>
      <c r="M33" s="8">
        <v>150000000</v>
      </c>
      <c r="N33" s="11">
        <v>37710000</v>
      </c>
      <c r="O33" s="11">
        <v>56810000</v>
      </c>
      <c r="P33" s="11">
        <v>75920000</v>
      </c>
      <c r="Q33" s="11">
        <v>38500000</v>
      </c>
      <c r="R33" s="11">
        <v>74000000</v>
      </c>
      <c r="S33" s="11">
        <v>108400000</v>
      </c>
    </row>
    <row r="34" spans="1:19" x14ac:dyDescent="0.25">
      <c r="A34" s="3">
        <v>2062</v>
      </c>
      <c r="B34" s="9">
        <v>50000000</v>
      </c>
      <c r="C34" s="9">
        <v>150000000</v>
      </c>
      <c r="D34" s="9">
        <v>400000000</v>
      </c>
      <c r="E34">
        <v>0</v>
      </c>
      <c r="F34" s="16">
        <v>50000000</v>
      </c>
      <c r="G34" s="16">
        <v>100000000</v>
      </c>
      <c r="H34" s="9">
        <v>50000000</v>
      </c>
      <c r="I34" s="9">
        <v>100000000</v>
      </c>
      <c r="J34" s="9">
        <v>300000000</v>
      </c>
      <c r="K34" s="8">
        <v>20000000</v>
      </c>
      <c r="L34" s="8">
        <v>50000000</v>
      </c>
      <c r="M34" s="8">
        <v>150000000</v>
      </c>
      <c r="N34" s="11">
        <v>37710000</v>
      </c>
      <c r="O34" s="11">
        <v>56810000</v>
      </c>
      <c r="P34" s="11">
        <v>75920000</v>
      </c>
      <c r="Q34" s="11">
        <v>38500000</v>
      </c>
      <c r="R34" s="11">
        <v>74000000</v>
      </c>
      <c r="S34" s="11">
        <v>108400000</v>
      </c>
    </row>
    <row r="35" spans="1:19" x14ac:dyDescent="0.25">
      <c r="A35" s="3">
        <v>2063</v>
      </c>
      <c r="B35" s="9">
        <v>50000000</v>
      </c>
      <c r="C35" s="9">
        <v>150000000</v>
      </c>
      <c r="D35" s="9">
        <v>400000000</v>
      </c>
      <c r="E35">
        <v>0</v>
      </c>
      <c r="F35" s="16">
        <v>50000000</v>
      </c>
      <c r="G35" s="16">
        <v>100000000</v>
      </c>
      <c r="H35" s="9">
        <v>50000000</v>
      </c>
      <c r="I35" s="9">
        <v>100000000</v>
      </c>
      <c r="J35" s="9">
        <v>300000000</v>
      </c>
      <c r="K35" s="8">
        <v>20000000</v>
      </c>
      <c r="L35" s="8">
        <v>50000000</v>
      </c>
      <c r="M35" s="8">
        <v>150000000</v>
      </c>
      <c r="N35" s="11">
        <v>37710000</v>
      </c>
      <c r="O35" s="11">
        <v>56810000</v>
      </c>
      <c r="P35" s="11">
        <v>75920000</v>
      </c>
      <c r="Q35" s="11">
        <v>38500000</v>
      </c>
      <c r="R35" s="11">
        <v>74000000</v>
      </c>
      <c r="S35" s="11">
        <v>108400000</v>
      </c>
    </row>
    <row r="36" spans="1:19" x14ac:dyDescent="0.25">
      <c r="A36" s="3">
        <v>2064</v>
      </c>
      <c r="B36" s="9">
        <v>50000000</v>
      </c>
      <c r="C36" s="9">
        <v>150000000</v>
      </c>
      <c r="D36" s="9">
        <v>400000000</v>
      </c>
      <c r="E36">
        <v>0</v>
      </c>
      <c r="F36" s="16">
        <v>50000000</v>
      </c>
      <c r="G36" s="16">
        <v>100000000</v>
      </c>
      <c r="H36" s="9">
        <v>50000000</v>
      </c>
      <c r="I36" s="9">
        <v>100000000</v>
      </c>
      <c r="J36" s="9">
        <v>300000000</v>
      </c>
      <c r="K36" s="8">
        <v>20000000</v>
      </c>
      <c r="L36" s="8">
        <v>50000000</v>
      </c>
      <c r="M36" s="8">
        <v>150000000</v>
      </c>
      <c r="N36" s="11">
        <v>37710000</v>
      </c>
      <c r="O36" s="11">
        <v>56810000</v>
      </c>
      <c r="P36" s="11">
        <v>75920000</v>
      </c>
      <c r="Q36" s="11">
        <v>38500000</v>
      </c>
      <c r="R36" s="11">
        <v>74000000</v>
      </c>
      <c r="S36" s="11">
        <v>108400000</v>
      </c>
    </row>
    <row r="37" spans="1:19" x14ac:dyDescent="0.25">
      <c r="A37" s="3">
        <v>2065</v>
      </c>
      <c r="B37" s="9">
        <v>50000000</v>
      </c>
      <c r="C37" s="9">
        <v>150000000</v>
      </c>
      <c r="D37" s="9">
        <v>400000000</v>
      </c>
      <c r="E37">
        <v>0</v>
      </c>
      <c r="F37" s="16">
        <v>50000000</v>
      </c>
      <c r="G37" s="16">
        <v>100000000</v>
      </c>
      <c r="H37" s="9">
        <v>50000000</v>
      </c>
      <c r="I37" s="9">
        <v>100000000</v>
      </c>
      <c r="J37" s="9">
        <v>300000000</v>
      </c>
      <c r="K37" s="8">
        <v>20000000</v>
      </c>
      <c r="L37" s="8">
        <v>50000000</v>
      </c>
      <c r="M37" s="8">
        <v>150000000</v>
      </c>
      <c r="N37" s="11">
        <v>37710000</v>
      </c>
      <c r="O37" s="11">
        <v>56810000</v>
      </c>
      <c r="P37" s="11">
        <v>75920000</v>
      </c>
      <c r="Q37" s="11">
        <v>38500000</v>
      </c>
      <c r="R37" s="11">
        <v>74000000</v>
      </c>
      <c r="S37" s="11">
        <v>108400000</v>
      </c>
    </row>
    <row r="38" spans="1:19" x14ac:dyDescent="0.25">
      <c r="A38" s="3">
        <v>2066</v>
      </c>
      <c r="B38" s="9">
        <v>50000000</v>
      </c>
      <c r="C38" s="9">
        <v>150000000</v>
      </c>
      <c r="D38" s="9">
        <v>400000000</v>
      </c>
      <c r="E38">
        <v>0</v>
      </c>
      <c r="F38" s="16">
        <v>50000000</v>
      </c>
      <c r="G38" s="16">
        <v>100000000</v>
      </c>
      <c r="H38" s="9">
        <v>50000000</v>
      </c>
      <c r="I38" s="9">
        <v>100000000</v>
      </c>
      <c r="J38" s="9">
        <v>300000000</v>
      </c>
      <c r="K38" s="8">
        <v>20000000</v>
      </c>
      <c r="L38" s="8">
        <v>50000000</v>
      </c>
      <c r="M38" s="8">
        <v>150000000</v>
      </c>
      <c r="N38" s="11">
        <v>37710000</v>
      </c>
      <c r="O38" s="11">
        <v>56810000</v>
      </c>
      <c r="P38" s="11">
        <v>75920000</v>
      </c>
      <c r="Q38" s="11">
        <v>38500000</v>
      </c>
      <c r="R38" s="11">
        <v>74000000</v>
      </c>
      <c r="S38" s="11">
        <v>108400000</v>
      </c>
    </row>
    <row r="39" spans="1:19" x14ac:dyDescent="0.25">
      <c r="A39" s="3">
        <v>2067</v>
      </c>
      <c r="B39" s="9">
        <v>50000000</v>
      </c>
      <c r="C39" s="9">
        <v>150000000</v>
      </c>
      <c r="D39" s="9">
        <v>400000000</v>
      </c>
      <c r="E39">
        <v>0</v>
      </c>
      <c r="F39" s="16">
        <v>50000000</v>
      </c>
      <c r="G39" s="16">
        <v>100000000</v>
      </c>
      <c r="H39" s="9">
        <v>50000000</v>
      </c>
      <c r="I39" s="9">
        <v>100000000</v>
      </c>
      <c r="J39" s="9">
        <v>300000000</v>
      </c>
      <c r="K39" s="8">
        <v>20000000</v>
      </c>
      <c r="L39" s="8">
        <v>50000000</v>
      </c>
      <c r="M39" s="8">
        <v>150000000</v>
      </c>
      <c r="N39" s="11">
        <v>37710000</v>
      </c>
      <c r="O39" s="11">
        <v>56810000</v>
      </c>
      <c r="P39" s="11">
        <v>75920000</v>
      </c>
      <c r="Q39" s="11">
        <v>38500000</v>
      </c>
      <c r="R39" s="11">
        <v>74000000</v>
      </c>
      <c r="S39" s="11">
        <v>108400000</v>
      </c>
    </row>
    <row r="40" spans="1:19" x14ac:dyDescent="0.25">
      <c r="A40" s="3">
        <v>2068</v>
      </c>
      <c r="B40" s="9">
        <v>50000000</v>
      </c>
      <c r="C40" s="9">
        <v>150000000</v>
      </c>
      <c r="D40" s="9">
        <v>400000000</v>
      </c>
      <c r="E40">
        <v>0</v>
      </c>
      <c r="F40" s="16">
        <v>50000000</v>
      </c>
      <c r="G40" s="16">
        <v>100000000</v>
      </c>
      <c r="H40" s="9">
        <v>50000000</v>
      </c>
      <c r="I40" s="9">
        <v>100000000</v>
      </c>
      <c r="J40" s="9">
        <v>300000000</v>
      </c>
      <c r="K40" s="8">
        <v>20000000</v>
      </c>
      <c r="L40" s="8">
        <v>50000000</v>
      </c>
      <c r="M40" s="8">
        <v>150000000</v>
      </c>
      <c r="N40" s="11">
        <v>37710000</v>
      </c>
      <c r="O40" s="11">
        <v>56810000</v>
      </c>
      <c r="P40" s="11">
        <v>75920000</v>
      </c>
      <c r="Q40" s="11">
        <v>38500000</v>
      </c>
      <c r="R40" s="11">
        <v>74000000</v>
      </c>
      <c r="S40" s="11">
        <v>108400000</v>
      </c>
    </row>
    <row r="41" spans="1:19" x14ac:dyDescent="0.25">
      <c r="A41" s="3">
        <v>2069</v>
      </c>
      <c r="B41" s="9">
        <v>50000000</v>
      </c>
      <c r="C41" s="9">
        <v>150000000</v>
      </c>
      <c r="D41" s="9">
        <v>400000000</v>
      </c>
      <c r="E41">
        <v>0</v>
      </c>
      <c r="F41" s="16">
        <v>50000000</v>
      </c>
      <c r="G41" s="16">
        <v>100000000</v>
      </c>
      <c r="H41" s="9">
        <v>50000000</v>
      </c>
      <c r="I41" s="9">
        <v>100000000</v>
      </c>
      <c r="J41" s="9">
        <v>300000000</v>
      </c>
      <c r="K41" s="8">
        <v>20000000</v>
      </c>
      <c r="L41" s="8">
        <v>50000000</v>
      </c>
      <c r="M41" s="8">
        <v>150000000</v>
      </c>
      <c r="N41" s="11">
        <v>37710000</v>
      </c>
      <c r="O41" s="11">
        <v>56810000</v>
      </c>
      <c r="P41" s="11">
        <v>75920000</v>
      </c>
      <c r="Q41" s="11">
        <v>38500000</v>
      </c>
      <c r="R41" s="11">
        <v>74000000</v>
      </c>
      <c r="S41" s="11">
        <v>108400000</v>
      </c>
    </row>
    <row r="42" spans="1:19" x14ac:dyDescent="0.25">
      <c r="A42" s="3">
        <v>2070</v>
      </c>
      <c r="B42" s="9">
        <v>50000000</v>
      </c>
      <c r="C42" s="9">
        <v>150000000</v>
      </c>
      <c r="D42" s="9">
        <v>400000000</v>
      </c>
      <c r="E42">
        <v>0</v>
      </c>
      <c r="F42" s="16">
        <v>50000000</v>
      </c>
      <c r="G42" s="16">
        <v>100000000</v>
      </c>
      <c r="H42" s="9">
        <v>50000000</v>
      </c>
      <c r="I42" s="9">
        <v>100000000</v>
      </c>
      <c r="J42" s="9">
        <v>300000000</v>
      </c>
      <c r="K42" s="8">
        <v>20000000</v>
      </c>
      <c r="L42" s="8">
        <v>50000000</v>
      </c>
      <c r="M42" s="8">
        <v>150000000</v>
      </c>
      <c r="N42" s="11">
        <v>37710000</v>
      </c>
      <c r="O42" s="11">
        <v>56810000</v>
      </c>
      <c r="P42" s="11">
        <v>75920000</v>
      </c>
      <c r="Q42" s="11">
        <v>38500000</v>
      </c>
      <c r="R42" s="11">
        <v>74000000</v>
      </c>
      <c r="S42" s="11">
        <v>108400000</v>
      </c>
    </row>
    <row r="43" spans="1:19" x14ac:dyDescent="0.25">
      <c r="A43" s="3">
        <v>2071</v>
      </c>
      <c r="B43" s="9">
        <v>50000000</v>
      </c>
      <c r="C43" s="9">
        <v>150000000</v>
      </c>
      <c r="D43" s="9">
        <v>400000000</v>
      </c>
      <c r="E43">
        <v>0</v>
      </c>
      <c r="F43" s="16">
        <v>50000000</v>
      </c>
      <c r="G43" s="16">
        <v>100000000</v>
      </c>
      <c r="H43" s="9">
        <v>50000000</v>
      </c>
      <c r="I43" s="9">
        <v>100000000</v>
      </c>
      <c r="J43" s="9">
        <v>300000000</v>
      </c>
      <c r="K43" s="8">
        <v>20000000</v>
      </c>
      <c r="L43" s="8">
        <v>50000000</v>
      </c>
      <c r="M43" s="8">
        <v>150000000</v>
      </c>
      <c r="N43" s="11">
        <v>37710000</v>
      </c>
      <c r="O43" s="11">
        <v>56810000</v>
      </c>
      <c r="P43" s="11">
        <v>75920000</v>
      </c>
      <c r="Q43" s="11">
        <v>38500000</v>
      </c>
      <c r="R43" s="11">
        <v>74000000</v>
      </c>
      <c r="S43" s="11">
        <v>108400000</v>
      </c>
    </row>
    <row r="44" spans="1:19" x14ac:dyDescent="0.25">
      <c r="A44" s="3">
        <v>2072</v>
      </c>
      <c r="B44" s="9">
        <v>50000000</v>
      </c>
      <c r="C44" s="9">
        <v>150000000</v>
      </c>
      <c r="D44" s="9">
        <v>400000000</v>
      </c>
      <c r="E44">
        <v>0</v>
      </c>
      <c r="F44" s="16">
        <v>50000000</v>
      </c>
      <c r="G44" s="16">
        <v>100000000</v>
      </c>
      <c r="H44" s="9">
        <v>50000000</v>
      </c>
      <c r="I44" s="9">
        <v>100000000</v>
      </c>
      <c r="J44" s="9">
        <v>300000000</v>
      </c>
      <c r="K44" s="8">
        <v>20000000</v>
      </c>
      <c r="L44" s="8">
        <v>50000000</v>
      </c>
      <c r="M44" s="8">
        <v>150000000</v>
      </c>
      <c r="N44" s="11">
        <v>37710000</v>
      </c>
      <c r="O44" s="11">
        <v>56810000</v>
      </c>
      <c r="P44" s="11">
        <v>75920000</v>
      </c>
      <c r="Q44" s="11">
        <v>38500000</v>
      </c>
      <c r="R44" s="11">
        <v>74000000</v>
      </c>
      <c r="S44" s="11">
        <v>108400000</v>
      </c>
    </row>
    <row r="45" spans="1:19" x14ac:dyDescent="0.25">
      <c r="A45" s="3">
        <v>2073</v>
      </c>
      <c r="B45" s="9">
        <v>50000000</v>
      </c>
      <c r="C45" s="9">
        <v>150000000</v>
      </c>
      <c r="D45" s="9">
        <v>400000000</v>
      </c>
      <c r="E45">
        <v>0</v>
      </c>
      <c r="F45" s="16">
        <v>50000000</v>
      </c>
      <c r="G45" s="16">
        <v>100000000</v>
      </c>
      <c r="H45" s="9">
        <v>50000000</v>
      </c>
      <c r="I45" s="9">
        <v>100000000</v>
      </c>
      <c r="J45" s="9">
        <v>300000000</v>
      </c>
      <c r="K45" s="8">
        <v>20000000</v>
      </c>
      <c r="L45" s="8">
        <v>50000000</v>
      </c>
      <c r="M45" s="8">
        <v>150000000</v>
      </c>
      <c r="N45" s="11">
        <v>37710000</v>
      </c>
      <c r="O45" s="11">
        <v>56810000</v>
      </c>
      <c r="P45" s="11">
        <v>75920000</v>
      </c>
      <c r="Q45" s="11">
        <v>38500000</v>
      </c>
      <c r="R45" s="11">
        <v>74000000</v>
      </c>
      <c r="S45" s="11">
        <v>108400000</v>
      </c>
    </row>
    <row r="46" spans="1:19" x14ac:dyDescent="0.25">
      <c r="A46" s="3">
        <v>2074</v>
      </c>
      <c r="B46" s="9">
        <v>50000000</v>
      </c>
      <c r="C46" s="9">
        <v>150000000</v>
      </c>
      <c r="D46" s="9">
        <v>400000000</v>
      </c>
      <c r="E46">
        <v>0</v>
      </c>
      <c r="F46" s="16">
        <v>50000000</v>
      </c>
      <c r="G46" s="16">
        <v>100000000</v>
      </c>
      <c r="H46" s="9">
        <v>50000000</v>
      </c>
      <c r="I46" s="9">
        <v>100000000</v>
      </c>
      <c r="J46" s="9">
        <v>300000000</v>
      </c>
      <c r="K46" s="8">
        <v>20000000</v>
      </c>
      <c r="L46" s="8">
        <v>50000000</v>
      </c>
      <c r="M46" s="8">
        <v>150000000</v>
      </c>
      <c r="N46" s="11">
        <v>37710000</v>
      </c>
      <c r="O46" s="11">
        <v>56810000</v>
      </c>
      <c r="P46" s="11">
        <v>75920000</v>
      </c>
      <c r="Q46" s="11">
        <v>38500000</v>
      </c>
      <c r="R46" s="11">
        <v>74000000</v>
      </c>
      <c r="S46" s="11">
        <v>108400000</v>
      </c>
    </row>
    <row r="47" spans="1:19" x14ac:dyDescent="0.25">
      <c r="A47" s="3">
        <v>2075</v>
      </c>
      <c r="B47" s="9">
        <v>50000000</v>
      </c>
      <c r="C47" s="9">
        <v>150000000</v>
      </c>
      <c r="D47" s="9">
        <v>400000000</v>
      </c>
      <c r="E47">
        <v>0</v>
      </c>
      <c r="F47" s="16">
        <v>50000000</v>
      </c>
      <c r="G47" s="16">
        <v>100000000</v>
      </c>
      <c r="H47" s="9">
        <v>50000000</v>
      </c>
      <c r="I47" s="9">
        <v>100000000</v>
      </c>
      <c r="J47" s="9">
        <v>300000000</v>
      </c>
      <c r="K47" s="8">
        <v>20000000</v>
      </c>
      <c r="L47" s="8">
        <v>50000000</v>
      </c>
      <c r="M47" s="8">
        <v>150000000</v>
      </c>
      <c r="N47" s="11">
        <v>37710000</v>
      </c>
      <c r="O47" s="11">
        <v>56810000</v>
      </c>
      <c r="P47" s="11">
        <v>75920000</v>
      </c>
      <c r="Q47" s="11">
        <v>38500000</v>
      </c>
      <c r="R47" s="11">
        <v>74000000</v>
      </c>
      <c r="S47" s="11">
        <v>108400000</v>
      </c>
    </row>
    <row r="48" spans="1:19" x14ac:dyDescent="0.25">
      <c r="A48" s="3">
        <v>2076</v>
      </c>
      <c r="B48" s="9">
        <v>50000000</v>
      </c>
      <c r="C48" s="9">
        <v>150000000</v>
      </c>
      <c r="D48" s="9">
        <v>400000000</v>
      </c>
      <c r="E48">
        <v>0</v>
      </c>
      <c r="F48" s="16">
        <v>50000000</v>
      </c>
      <c r="G48" s="16">
        <v>100000000</v>
      </c>
      <c r="H48" s="9">
        <v>50000000</v>
      </c>
      <c r="I48" s="9">
        <v>100000000</v>
      </c>
      <c r="J48" s="9">
        <v>300000000</v>
      </c>
      <c r="K48" s="8">
        <v>20000000</v>
      </c>
      <c r="L48" s="8">
        <v>50000000</v>
      </c>
      <c r="M48" s="8">
        <v>150000000</v>
      </c>
      <c r="N48" s="11">
        <v>37710000</v>
      </c>
      <c r="O48" s="11">
        <v>56810000</v>
      </c>
      <c r="P48" s="11">
        <v>75920000</v>
      </c>
      <c r="Q48" s="11">
        <v>38500000</v>
      </c>
      <c r="R48" s="11">
        <v>74000000</v>
      </c>
      <c r="S48" s="11">
        <v>108400000</v>
      </c>
    </row>
    <row r="49" spans="1:19" x14ac:dyDescent="0.25">
      <c r="A49" s="3">
        <v>2077</v>
      </c>
      <c r="B49" s="9">
        <v>50000000</v>
      </c>
      <c r="C49" s="9">
        <v>150000000</v>
      </c>
      <c r="D49" s="9">
        <v>400000000</v>
      </c>
      <c r="E49">
        <v>0</v>
      </c>
      <c r="F49" s="16">
        <v>50000000</v>
      </c>
      <c r="G49" s="16">
        <v>100000000</v>
      </c>
      <c r="H49" s="9">
        <v>50000000</v>
      </c>
      <c r="I49" s="9">
        <v>100000000</v>
      </c>
      <c r="J49" s="9">
        <v>300000000</v>
      </c>
      <c r="K49" s="8">
        <v>20000000</v>
      </c>
      <c r="L49" s="8">
        <v>50000000</v>
      </c>
      <c r="M49" s="8">
        <v>150000000</v>
      </c>
      <c r="N49" s="11">
        <v>37710000</v>
      </c>
      <c r="O49" s="11">
        <v>56810000</v>
      </c>
      <c r="P49" s="11">
        <v>75920000</v>
      </c>
      <c r="Q49" s="11">
        <v>38500000</v>
      </c>
      <c r="R49" s="11">
        <v>74000000</v>
      </c>
      <c r="S49" s="11">
        <v>108400000</v>
      </c>
    </row>
    <row r="50" spans="1:19" x14ac:dyDescent="0.25">
      <c r="A50" s="3">
        <v>2078</v>
      </c>
      <c r="B50" s="9">
        <v>50000000</v>
      </c>
      <c r="C50" s="9">
        <v>150000000</v>
      </c>
      <c r="D50" s="9">
        <v>400000000</v>
      </c>
      <c r="E50">
        <v>0</v>
      </c>
      <c r="F50" s="16">
        <v>50000000</v>
      </c>
      <c r="G50" s="16">
        <v>100000000</v>
      </c>
      <c r="H50" s="9">
        <v>50000000</v>
      </c>
      <c r="I50" s="9">
        <v>100000000</v>
      </c>
      <c r="J50" s="9">
        <v>300000000</v>
      </c>
      <c r="K50" s="8">
        <v>20000000</v>
      </c>
      <c r="L50" s="8">
        <v>50000000</v>
      </c>
      <c r="M50" s="8">
        <v>150000000</v>
      </c>
      <c r="N50" s="11">
        <v>37710000</v>
      </c>
      <c r="O50" s="11">
        <v>56810000</v>
      </c>
      <c r="P50" s="11">
        <v>75920000</v>
      </c>
      <c r="Q50" s="11">
        <v>38500000</v>
      </c>
      <c r="R50" s="11">
        <v>74000000</v>
      </c>
      <c r="S50" s="11">
        <v>108400000</v>
      </c>
    </row>
    <row r="51" spans="1:19" x14ac:dyDescent="0.25">
      <c r="A51" s="3">
        <v>2079</v>
      </c>
      <c r="B51" s="9">
        <v>50000000</v>
      </c>
      <c r="C51" s="9">
        <v>150000000</v>
      </c>
      <c r="D51" s="9">
        <v>400000000</v>
      </c>
      <c r="E51">
        <v>0</v>
      </c>
      <c r="F51" s="16">
        <v>50000000</v>
      </c>
      <c r="G51" s="16">
        <v>100000000</v>
      </c>
      <c r="H51" s="9">
        <v>50000000</v>
      </c>
      <c r="I51" s="9">
        <v>100000000</v>
      </c>
      <c r="J51" s="9">
        <v>300000000</v>
      </c>
      <c r="K51" s="8">
        <v>20000000</v>
      </c>
      <c r="L51" s="8">
        <v>50000000</v>
      </c>
      <c r="M51" s="8">
        <v>150000000</v>
      </c>
      <c r="N51" s="11">
        <v>37710000</v>
      </c>
      <c r="O51" s="11">
        <v>56810000</v>
      </c>
      <c r="P51" s="11">
        <v>75920000</v>
      </c>
      <c r="Q51" s="11">
        <v>38500000</v>
      </c>
      <c r="R51" s="11">
        <v>74000000</v>
      </c>
      <c r="S51" s="11">
        <v>108400000</v>
      </c>
    </row>
    <row r="52" spans="1:19" x14ac:dyDescent="0.25">
      <c r="A52" s="3">
        <v>2080</v>
      </c>
      <c r="B52" s="9">
        <v>50000000</v>
      </c>
      <c r="C52" s="9">
        <v>150000000</v>
      </c>
      <c r="D52" s="9">
        <v>400000000</v>
      </c>
      <c r="E52">
        <v>0</v>
      </c>
      <c r="F52" s="16">
        <v>50000000</v>
      </c>
      <c r="G52" s="16">
        <v>100000000</v>
      </c>
      <c r="H52" s="9">
        <v>50000000</v>
      </c>
      <c r="I52" s="9">
        <v>100000000</v>
      </c>
      <c r="J52" s="9">
        <v>300000000</v>
      </c>
      <c r="K52" s="8">
        <v>20000000</v>
      </c>
      <c r="L52" s="8">
        <v>50000000</v>
      </c>
      <c r="M52" s="8">
        <v>150000000</v>
      </c>
      <c r="N52" s="11">
        <v>37710000</v>
      </c>
      <c r="O52" s="11">
        <v>56810000</v>
      </c>
      <c r="P52" s="11">
        <v>75920000</v>
      </c>
      <c r="Q52" s="11">
        <v>38500000</v>
      </c>
      <c r="R52" s="11">
        <v>74000000</v>
      </c>
      <c r="S52" s="11">
        <v>108400000</v>
      </c>
    </row>
    <row r="53" spans="1:19" x14ac:dyDescent="0.25">
      <c r="A53" s="3">
        <v>2081</v>
      </c>
      <c r="B53" s="9">
        <v>50000000</v>
      </c>
      <c r="C53" s="9">
        <v>150000000</v>
      </c>
      <c r="D53" s="9">
        <v>400000000</v>
      </c>
      <c r="E53">
        <v>0</v>
      </c>
      <c r="F53" s="16">
        <v>50000000</v>
      </c>
      <c r="G53" s="16">
        <v>100000000</v>
      </c>
      <c r="H53" s="9">
        <v>50000000</v>
      </c>
      <c r="I53" s="9">
        <v>100000000</v>
      </c>
      <c r="J53" s="9">
        <v>300000000</v>
      </c>
      <c r="K53" s="8">
        <v>20000000</v>
      </c>
      <c r="L53" s="8">
        <v>50000000</v>
      </c>
      <c r="M53" s="8">
        <v>150000000</v>
      </c>
      <c r="N53" s="11">
        <v>37710000</v>
      </c>
      <c r="O53" s="11">
        <v>56810000</v>
      </c>
      <c r="P53" s="11">
        <v>75920000</v>
      </c>
      <c r="Q53" s="11">
        <v>38500000</v>
      </c>
      <c r="R53" s="11">
        <v>74000000</v>
      </c>
      <c r="S53" s="11">
        <v>108400000</v>
      </c>
    </row>
    <row r="54" spans="1:19" x14ac:dyDescent="0.25">
      <c r="A54" s="3">
        <v>2082</v>
      </c>
      <c r="B54" s="9">
        <v>50000000</v>
      </c>
      <c r="C54" s="9">
        <v>150000000</v>
      </c>
      <c r="D54" s="9">
        <v>400000000</v>
      </c>
      <c r="E54">
        <v>0</v>
      </c>
      <c r="F54" s="16">
        <v>50000000</v>
      </c>
      <c r="G54" s="16">
        <v>100000000</v>
      </c>
      <c r="H54" s="9">
        <v>50000000</v>
      </c>
      <c r="I54" s="9">
        <v>100000000</v>
      </c>
      <c r="J54" s="9">
        <v>300000000</v>
      </c>
      <c r="K54" s="8">
        <v>20000000</v>
      </c>
      <c r="L54" s="8">
        <v>50000000</v>
      </c>
      <c r="M54" s="8">
        <v>150000000</v>
      </c>
      <c r="N54" s="11">
        <v>37710000</v>
      </c>
      <c r="O54" s="11">
        <v>56810000</v>
      </c>
      <c r="P54" s="11">
        <v>75920000</v>
      </c>
      <c r="Q54" s="11">
        <v>38500000</v>
      </c>
      <c r="R54" s="11">
        <v>74000000</v>
      </c>
      <c r="S54" s="11">
        <v>108400000</v>
      </c>
    </row>
    <row r="55" spans="1:19" x14ac:dyDescent="0.25">
      <c r="A55" s="3">
        <v>2083</v>
      </c>
      <c r="B55" s="9">
        <v>50000000</v>
      </c>
      <c r="C55" s="9">
        <v>150000000</v>
      </c>
      <c r="D55" s="9">
        <v>400000000</v>
      </c>
      <c r="E55">
        <v>0</v>
      </c>
      <c r="F55" s="16">
        <v>50000000</v>
      </c>
      <c r="G55" s="16">
        <v>100000000</v>
      </c>
      <c r="H55" s="9">
        <v>50000000</v>
      </c>
      <c r="I55" s="9">
        <v>100000000</v>
      </c>
      <c r="J55" s="9">
        <v>300000000</v>
      </c>
      <c r="K55" s="8">
        <v>20000000</v>
      </c>
      <c r="L55" s="8">
        <v>50000000</v>
      </c>
      <c r="M55" s="8">
        <v>150000000</v>
      </c>
      <c r="N55" s="11">
        <v>37710000</v>
      </c>
      <c r="O55" s="11">
        <v>56810000</v>
      </c>
      <c r="P55" s="11">
        <v>75920000</v>
      </c>
      <c r="Q55" s="11">
        <v>38500000</v>
      </c>
      <c r="R55" s="11">
        <v>74000000</v>
      </c>
      <c r="S55" s="11">
        <v>108400000</v>
      </c>
    </row>
    <row r="56" spans="1:19" x14ac:dyDescent="0.25">
      <c r="A56" s="3">
        <v>2084</v>
      </c>
      <c r="B56" s="9">
        <v>50000000</v>
      </c>
      <c r="C56" s="9">
        <v>150000000</v>
      </c>
      <c r="D56" s="9">
        <v>400000000</v>
      </c>
      <c r="E56">
        <v>0</v>
      </c>
      <c r="F56" s="16">
        <v>50000000</v>
      </c>
      <c r="G56" s="16">
        <v>100000000</v>
      </c>
      <c r="H56" s="9">
        <v>50000000</v>
      </c>
      <c r="I56" s="9">
        <v>100000000</v>
      </c>
      <c r="J56" s="9">
        <v>300000000</v>
      </c>
      <c r="K56" s="8">
        <v>20000000</v>
      </c>
      <c r="L56" s="8">
        <v>50000000</v>
      </c>
      <c r="M56" s="8">
        <v>150000000</v>
      </c>
      <c r="N56" s="11">
        <v>37710000</v>
      </c>
      <c r="O56" s="11">
        <v>56810000</v>
      </c>
      <c r="P56" s="11">
        <v>75920000</v>
      </c>
      <c r="Q56" s="11">
        <v>38500000</v>
      </c>
      <c r="R56" s="11">
        <v>74000000</v>
      </c>
      <c r="S56" s="11">
        <v>108400000</v>
      </c>
    </row>
    <row r="57" spans="1:19" x14ac:dyDescent="0.25">
      <c r="A57" s="3">
        <v>2085</v>
      </c>
      <c r="B57" s="9">
        <v>50000000</v>
      </c>
      <c r="C57" s="9">
        <v>150000000</v>
      </c>
      <c r="D57" s="9">
        <v>400000000</v>
      </c>
      <c r="E57">
        <v>0</v>
      </c>
      <c r="F57" s="16">
        <v>50000000</v>
      </c>
      <c r="G57" s="16">
        <v>100000000</v>
      </c>
      <c r="H57" s="9">
        <v>50000000</v>
      </c>
      <c r="I57" s="9">
        <v>100000000</v>
      </c>
      <c r="J57" s="9">
        <v>300000000</v>
      </c>
      <c r="K57" s="8">
        <v>20000000</v>
      </c>
      <c r="L57" s="8">
        <v>50000000</v>
      </c>
      <c r="M57" s="8">
        <v>150000000</v>
      </c>
      <c r="N57" s="11">
        <v>37710000</v>
      </c>
      <c r="O57" s="11">
        <v>56810000</v>
      </c>
      <c r="P57" s="11">
        <v>75920000</v>
      </c>
      <c r="Q57" s="11">
        <v>38500000</v>
      </c>
      <c r="R57" s="11">
        <v>74000000</v>
      </c>
      <c r="S57" s="11">
        <v>108400000</v>
      </c>
    </row>
    <row r="58" spans="1:19" x14ac:dyDescent="0.25">
      <c r="A58" s="3">
        <v>2086</v>
      </c>
      <c r="B58" s="9">
        <v>50000000</v>
      </c>
      <c r="C58" s="9">
        <v>150000000</v>
      </c>
      <c r="D58" s="9">
        <v>400000000</v>
      </c>
      <c r="E58">
        <v>0</v>
      </c>
      <c r="F58" s="16">
        <v>50000000</v>
      </c>
      <c r="G58" s="16">
        <v>100000000</v>
      </c>
      <c r="H58" s="9">
        <v>50000000</v>
      </c>
      <c r="I58" s="9">
        <v>100000000</v>
      </c>
      <c r="J58" s="9">
        <v>300000000</v>
      </c>
      <c r="K58" s="8">
        <v>20000000</v>
      </c>
      <c r="L58" s="8">
        <v>50000000</v>
      </c>
      <c r="M58" s="8">
        <v>150000000</v>
      </c>
      <c r="N58" s="11">
        <v>37710000</v>
      </c>
      <c r="O58" s="11">
        <v>56810000</v>
      </c>
      <c r="P58" s="11">
        <v>75920000</v>
      </c>
      <c r="Q58" s="11">
        <v>38500000</v>
      </c>
      <c r="R58" s="11">
        <v>74000000</v>
      </c>
      <c r="S58" s="11">
        <v>108400000</v>
      </c>
    </row>
    <row r="59" spans="1:19" x14ac:dyDescent="0.25">
      <c r="A59" s="3">
        <v>2087</v>
      </c>
      <c r="B59" s="9">
        <v>50000000</v>
      </c>
      <c r="C59" s="9">
        <v>150000000</v>
      </c>
      <c r="D59" s="9">
        <v>400000000</v>
      </c>
      <c r="E59">
        <v>0</v>
      </c>
      <c r="F59" s="16">
        <v>50000000</v>
      </c>
      <c r="G59" s="16">
        <v>100000000</v>
      </c>
      <c r="H59" s="9">
        <v>50000000</v>
      </c>
      <c r="I59" s="9">
        <v>100000000</v>
      </c>
      <c r="J59" s="9">
        <v>300000000</v>
      </c>
      <c r="K59" s="8">
        <v>20000000</v>
      </c>
      <c r="L59" s="8">
        <v>50000000</v>
      </c>
      <c r="M59" s="8">
        <v>150000000</v>
      </c>
      <c r="N59" s="11">
        <v>37710000</v>
      </c>
      <c r="O59" s="11">
        <v>56810000</v>
      </c>
      <c r="P59" s="11">
        <v>75920000</v>
      </c>
      <c r="Q59" s="11">
        <v>38500000</v>
      </c>
      <c r="R59" s="11">
        <v>74000000</v>
      </c>
      <c r="S59" s="11">
        <v>108400000</v>
      </c>
    </row>
    <row r="60" spans="1:19" x14ac:dyDescent="0.25">
      <c r="A60" s="3">
        <v>2088</v>
      </c>
      <c r="B60" s="9">
        <v>50000000</v>
      </c>
      <c r="C60" s="9">
        <v>150000000</v>
      </c>
      <c r="D60" s="9">
        <v>400000000</v>
      </c>
      <c r="E60">
        <v>0</v>
      </c>
      <c r="F60" s="16">
        <v>50000000</v>
      </c>
      <c r="G60" s="16">
        <v>100000000</v>
      </c>
      <c r="H60" s="9">
        <v>50000000</v>
      </c>
      <c r="I60" s="9">
        <v>100000000</v>
      </c>
      <c r="J60" s="9">
        <v>300000000</v>
      </c>
      <c r="K60" s="8">
        <v>20000000</v>
      </c>
      <c r="L60" s="8">
        <v>50000000</v>
      </c>
      <c r="M60" s="8">
        <v>150000000</v>
      </c>
      <c r="N60" s="11">
        <v>37710000</v>
      </c>
      <c r="O60" s="11">
        <v>56810000</v>
      </c>
      <c r="P60" s="11">
        <v>75920000</v>
      </c>
      <c r="Q60" s="11">
        <v>38500000</v>
      </c>
      <c r="R60" s="11">
        <v>74000000</v>
      </c>
      <c r="S60" s="11">
        <v>108400000</v>
      </c>
    </row>
    <row r="61" spans="1:19" x14ac:dyDescent="0.25">
      <c r="A61" s="3">
        <v>2089</v>
      </c>
      <c r="B61" s="9">
        <v>50000000</v>
      </c>
      <c r="C61" s="9">
        <v>150000000</v>
      </c>
      <c r="D61" s="9">
        <v>400000000</v>
      </c>
      <c r="E61">
        <v>0</v>
      </c>
      <c r="F61" s="16">
        <v>50000000</v>
      </c>
      <c r="G61" s="16">
        <v>100000000</v>
      </c>
      <c r="H61" s="9">
        <v>50000000</v>
      </c>
      <c r="I61" s="9">
        <v>100000000</v>
      </c>
      <c r="J61" s="9">
        <v>300000000</v>
      </c>
      <c r="K61" s="8">
        <v>20000000</v>
      </c>
      <c r="L61" s="8">
        <v>50000000</v>
      </c>
      <c r="M61" s="8">
        <v>150000000</v>
      </c>
      <c r="N61" s="11">
        <v>37710000</v>
      </c>
      <c r="O61" s="11">
        <v>56810000</v>
      </c>
      <c r="P61" s="11">
        <v>75920000</v>
      </c>
      <c r="Q61" s="11">
        <v>38500000</v>
      </c>
      <c r="R61" s="11">
        <v>74000000</v>
      </c>
      <c r="S61" s="11">
        <v>108400000</v>
      </c>
    </row>
    <row r="62" spans="1:19" x14ac:dyDescent="0.25">
      <c r="A62" s="3">
        <v>2090</v>
      </c>
      <c r="B62" s="9">
        <v>50000000</v>
      </c>
      <c r="C62" s="9">
        <v>150000000</v>
      </c>
      <c r="D62" s="9">
        <v>400000000</v>
      </c>
      <c r="E62">
        <v>0</v>
      </c>
      <c r="F62" s="16">
        <v>50000000</v>
      </c>
      <c r="G62" s="16">
        <v>100000000</v>
      </c>
      <c r="H62" s="9">
        <v>50000000</v>
      </c>
      <c r="I62" s="9">
        <v>100000000</v>
      </c>
      <c r="J62" s="9">
        <v>300000000</v>
      </c>
      <c r="K62" s="8">
        <v>20000000</v>
      </c>
      <c r="L62" s="8">
        <v>50000000</v>
      </c>
      <c r="M62" s="8">
        <v>150000000</v>
      </c>
      <c r="N62" s="11">
        <v>37710000</v>
      </c>
      <c r="O62" s="11">
        <v>56810000</v>
      </c>
      <c r="P62" s="11">
        <v>75920000</v>
      </c>
      <c r="Q62" s="11">
        <v>38500000</v>
      </c>
      <c r="R62" s="11">
        <v>74000000</v>
      </c>
      <c r="S62" s="11">
        <v>108400000</v>
      </c>
    </row>
    <row r="63" spans="1:19" x14ac:dyDescent="0.25">
      <c r="A63" s="3">
        <v>2091</v>
      </c>
      <c r="B63" s="9">
        <v>50000000</v>
      </c>
      <c r="C63" s="9">
        <v>150000000</v>
      </c>
      <c r="D63" s="9">
        <v>400000000</v>
      </c>
      <c r="E63">
        <v>0</v>
      </c>
      <c r="F63" s="16">
        <v>50000000</v>
      </c>
      <c r="G63" s="16">
        <v>100000000</v>
      </c>
      <c r="H63" s="9">
        <v>50000000</v>
      </c>
      <c r="I63" s="9">
        <v>100000000</v>
      </c>
      <c r="J63" s="9">
        <v>300000000</v>
      </c>
      <c r="K63" s="8">
        <v>20000000</v>
      </c>
      <c r="L63" s="8">
        <v>50000000</v>
      </c>
      <c r="M63" s="8">
        <v>150000000</v>
      </c>
      <c r="N63" s="11">
        <v>37710000</v>
      </c>
      <c r="O63" s="11">
        <v>56810000</v>
      </c>
      <c r="P63" s="11">
        <v>75920000</v>
      </c>
      <c r="Q63" s="11">
        <v>38500000</v>
      </c>
      <c r="R63" s="11">
        <v>74000000</v>
      </c>
      <c r="S63" s="11">
        <v>108400000</v>
      </c>
    </row>
    <row r="64" spans="1:19" x14ac:dyDescent="0.25">
      <c r="A64" s="3">
        <v>2092</v>
      </c>
      <c r="B64" s="9">
        <v>50000000</v>
      </c>
      <c r="C64" s="9">
        <v>150000000</v>
      </c>
      <c r="D64" s="9">
        <v>400000000</v>
      </c>
      <c r="E64">
        <v>0</v>
      </c>
      <c r="F64" s="16">
        <v>50000000</v>
      </c>
      <c r="G64" s="16">
        <v>100000000</v>
      </c>
      <c r="H64" s="9">
        <v>50000000</v>
      </c>
      <c r="I64" s="9">
        <v>100000000</v>
      </c>
      <c r="J64" s="9">
        <v>300000000</v>
      </c>
      <c r="K64" s="8">
        <v>20000000</v>
      </c>
      <c r="L64" s="8">
        <v>50000000</v>
      </c>
      <c r="M64" s="8">
        <v>150000000</v>
      </c>
      <c r="N64" s="11">
        <v>37710000</v>
      </c>
      <c r="O64" s="11">
        <v>56810000</v>
      </c>
      <c r="P64" s="11">
        <v>75920000</v>
      </c>
      <c r="Q64" s="11">
        <v>38500000</v>
      </c>
      <c r="R64" s="11">
        <v>74000000</v>
      </c>
      <c r="S64" s="11">
        <v>108400000</v>
      </c>
    </row>
    <row r="65" spans="1:19" x14ac:dyDescent="0.25">
      <c r="A65" s="3">
        <v>2093</v>
      </c>
      <c r="B65" s="9">
        <v>50000000</v>
      </c>
      <c r="C65" s="9">
        <v>150000000</v>
      </c>
      <c r="D65" s="9">
        <v>400000000</v>
      </c>
      <c r="E65">
        <v>0</v>
      </c>
      <c r="F65" s="16">
        <v>50000000</v>
      </c>
      <c r="G65" s="16">
        <v>100000000</v>
      </c>
      <c r="H65" s="9">
        <v>50000000</v>
      </c>
      <c r="I65" s="9">
        <v>100000000</v>
      </c>
      <c r="J65" s="9">
        <v>300000000</v>
      </c>
      <c r="K65" s="8">
        <v>20000000</v>
      </c>
      <c r="L65" s="8">
        <v>50000000</v>
      </c>
      <c r="M65" s="8">
        <v>150000000</v>
      </c>
      <c r="N65" s="11">
        <v>37710000</v>
      </c>
      <c r="O65" s="11">
        <v>56810000</v>
      </c>
      <c r="P65" s="11">
        <v>75920000</v>
      </c>
      <c r="Q65" s="11">
        <v>38500000</v>
      </c>
      <c r="R65" s="11">
        <v>74000000</v>
      </c>
      <c r="S65" s="11">
        <v>108400000</v>
      </c>
    </row>
    <row r="66" spans="1:19" x14ac:dyDescent="0.25">
      <c r="A66" s="3">
        <v>2094</v>
      </c>
      <c r="B66" s="9">
        <v>50000000</v>
      </c>
      <c r="C66" s="9">
        <v>150000000</v>
      </c>
      <c r="D66" s="9">
        <v>400000000</v>
      </c>
      <c r="E66">
        <v>0</v>
      </c>
      <c r="F66" s="16">
        <v>50000000</v>
      </c>
      <c r="G66" s="16">
        <v>100000000</v>
      </c>
      <c r="H66" s="9">
        <v>50000000</v>
      </c>
      <c r="I66" s="9">
        <v>100000000</v>
      </c>
      <c r="J66" s="9">
        <v>300000000</v>
      </c>
      <c r="K66" s="8">
        <v>20000000</v>
      </c>
      <c r="L66" s="8">
        <v>50000000</v>
      </c>
      <c r="M66" s="8">
        <v>150000000</v>
      </c>
      <c r="N66" s="11">
        <v>37710000</v>
      </c>
      <c r="O66" s="11">
        <v>56810000</v>
      </c>
      <c r="P66" s="11">
        <v>75920000</v>
      </c>
      <c r="Q66" s="11">
        <v>38500000</v>
      </c>
      <c r="R66" s="11">
        <v>74000000</v>
      </c>
      <c r="S66" s="11">
        <v>108400000</v>
      </c>
    </row>
    <row r="67" spans="1:19" x14ac:dyDescent="0.25">
      <c r="A67" s="3">
        <v>2095</v>
      </c>
      <c r="B67" s="9">
        <v>50000000</v>
      </c>
      <c r="C67" s="9">
        <v>150000000</v>
      </c>
      <c r="D67" s="9">
        <v>400000000</v>
      </c>
      <c r="E67">
        <v>0</v>
      </c>
      <c r="F67" s="16">
        <v>50000000</v>
      </c>
      <c r="G67" s="16">
        <v>100000000</v>
      </c>
      <c r="H67" s="9">
        <v>50000000</v>
      </c>
      <c r="I67" s="9">
        <v>100000000</v>
      </c>
      <c r="J67" s="9">
        <v>300000000</v>
      </c>
      <c r="K67" s="8">
        <v>20000000</v>
      </c>
      <c r="L67" s="8">
        <v>50000000</v>
      </c>
      <c r="M67" s="8">
        <v>150000000</v>
      </c>
      <c r="N67" s="11">
        <v>37710000</v>
      </c>
      <c r="O67" s="11">
        <v>56810000</v>
      </c>
      <c r="P67" s="11">
        <v>75920000</v>
      </c>
      <c r="Q67" s="11">
        <v>38500000</v>
      </c>
      <c r="R67" s="11">
        <v>74000000</v>
      </c>
      <c r="S67" s="11">
        <v>108400000</v>
      </c>
    </row>
    <row r="68" spans="1:19" x14ac:dyDescent="0.25">
      <c r="A68" s="3">
        <v>2096</v>
      </c>
      <c r="B68" s="9">
        <v>50000000</v>
      </c>
      <c r="C68" s="9">
        <v>150000000</v>
      </c>
      <c r="D68" s="9">
        <v>400000000</v>
      </c>
      <c r="E68">
        <v>0</v>
      </c>
      <c r="F68" s="16">
        <v>50000000</v>
      </c>
      <c r="G68" s="16">
        <v>100000000</v>
      </c>
      <c r="H68" s="9">
        <v>50000000</v>
      </c>
      <c r="I68" s="9">
        <v>100000000</v>
      </c>
      <c r="J68" s="9">
        <v>300000000</v>
      </c>
      <c r="K68" s="8">
        <v>20000000</v>
      </c>
      <c r="L68" s="8">
        <v>50000000</v>
      </c>
      <c r="M68" s="8">
        <v>150000000</v>
      </c>
      <c r="N68" s="11">
        <v>37710000</v>
      </c>
      <c r="O68" s="11">
        <v>56810000</v>
      </c>
      <c r="P68" s="11">
        <v>75920000</v>
      </c>
      <c r="Q68" s="11">
        <v>38500000</v>
      </c>
      <c r="R68" s="11">
        <v>74000000</v>
      </c>
      <c r="S68" s="11">
        <v>108400000</v>
      </c>
    </row>
    <row r="69" spans="1:19" x14ac:dyDescent="0.25">
      <c r="A69" s="3">
        <v>2097</v>
      </c>
      <c r="B69" s="9">
        <v>50000000</v>
      </c>
      <c r="C69" s="9">
        <v>150000000</v>
      </c>
      <c r="D69" s="9">
        <v>400000000</v>
      </c>
      <c r="E69">
        <v>0</v>
      </c>
      <c r="F69" s="16">
        <v>50000000</v>
      </c>
      <c r="G69" s="16">
        <v>100000000</v>
      </c>
      <c r="H69" s="9">
        <v>50000000</v>
      </c>
      <c r="I69" s="9">
        <v>100000000</v>
      </c>
      <c r="J69" s="9">
        <v>300000000</v>
      </c>
      <c r="K69" s="8">
        <v>20000000</v>
      </c>
      <c r="L69" s="8">
        <v>50000000</v>
      </c>
      <c r="M69" s="8">
        <v>150000000</v>
      </c>
      <c r="N69" s="11">
        <v>37710000</v>
      </c>
      <c r="O69" s="11">
        <v>56810000</v>
      </c>
      <c r="P69" s="11">
        <v>75920000</v>
      </c>
      <c r="Q69" s="11">
        <v>38500000</v>
      </c>
      <c r="R69" s="11">
        <v>74000000</v>
      </c>
      <c r="S69" s="11">
        <v>108400000</v>
      </c>
    </row>
    <row r="70" spans="1:19" x14ac:dyDescent="0.25">
      <c r="A70" s="3">
        <v>2098</v>
      </c>
      <c r="B70" s="9">
        <v>50000000</v>
      </c>
      <c r="C70" s="9">
        <v>150000000</v>
      </c>
      <c r="D70" s="9">
        <v>400000000</v>
      </c>
      <c r="E70">
        <v>0</v>
      </c>
      <c r="F70" s="16">
        <v>50000000</v>
      </c>
      <c r="G70" s="16">
        <v>100000000</v>
      </c>
      <c r="H70" s="9">
        <v>50000000</v>
      </c>
      <c r="I70" s="9">
        <v>100000000</v>
      </c>
      <c r="J70" s="9">
        <v>300000000</v>
      </c>
      <c r="K70" s="8">
        <v>20000000</v>
      </c>
      <c r="L70" s="8">
        <v>50000000</v>
      </c>
      <c r="M70" s="8">
        <v>150000000</v>
      </c>
      <c r="N70" s="11">
        <v>37710000</v>
      </c>
      <c r="O70" s="11">
        <v>56810000</v>
      </c>
      <c r="P70" s="11">
        <v>75920000</v>
      </c>
      <c r="Q70" s="11">
        <v>38500000</v>
      </c>
      <c r="R70" s="11">
        <v>74000000</v>
      </c>
      <c r="S70" s="11">
        <v>108400000</v>
      </c>
    </row>
    <row r="71" spans="1:19" x14ac:dyDescent="0.25">
      <c r="A71" s="3">
        <v>2099</v>
      </c>
      <c r="B71" s="9">
        <v>50000000</v>
      </c>
      <c r="C71" s="9">
        <v>150000000</v>
      </c>
      <c r="D71" s="9">
        <v>400000000</v>
      </c>
      <c r="E71">
        <v>0</v>
      </c>
      <c r="F71" s="16">
        <v>50000000</v>
      </c>
      <c r="G71" s="16">
        <v>100000000</v>
      </c>
      <c r="H71" s="9">
        <v>50000000</v>
      </c>
      <c r="I71" s="9">
        <v>100000000</v>
      </c>
      <c r="J71" s="9">
        <v>300000000</v>
      </c>
      <c r="K71" s="8">
        <v>20000000</v>
      </c>
      <c r="L71" s="8">
        <v>50000000</v>
      </c>
      <c r="M71" s="8">
        <v>150000000</v>
      </c>
      <c r="N71" s="11">
        <v>37710000</v>
      </c>
      <c r="O71" s="11">
        <v>56810000</v>
      </c>
      <c r="P71" s="11">
        <v>75920000</v>
      </c>
      <c r="Q71" s="11">
        <v>38500000</v>
      </c>
      <c r="R71" s="11">
        <v>74000000</v>
      </c>
      <c r="S71" s="11">
        <v>108400000</v>
      </c>
    </row>
    <row r="72" spans="1:19" x14ac:dyDescent="0.25">
      <c r="A72" s="3">
        <v>2100</v>
      </c>
      <c r="B72" s="9">
        <v>50000000</v>
      </c>
      <c r="C72" s="9">
        <v>150000000</v>
      </c>
      <c r="D72" s="9">
        <v>400000000</v>
      </c>
      <c r="E72">
        <v>0</v>
      </c>
      <c r="F72" s="16">
        <v>50000000</v>
      </c>
      <c r="G72" s="16">
        <v>100000000</v>
      </c>
      <c r="H72" s="9">
        <v>50000000</v>
      </c>
      <c r="I72" s="9">
        <v>100000000</v>
      </c>
      <c r="J72" s="9">
        <v>300000000</v>
      </c>
      <c r="K72" s="8">
        <v>20000000</v>
      </c>
      <c r="L72" s="8">
        <v>50000000</v>
      </c>
      <c r="M72" s="8">
        <v>150000000</v>
      </c>
      <c r="N72" s="11">
        <v>37710000</v>
      </c>
      <c r="O72" s="11">
        <v>56810000</v>
      </c>
      <c r="P72" s="11">
        <v>75920000</v>
      </c>
      <c r="Q72" s="11">
        <v>38500000</v>
      </c>
      <c r="R72" s="11">
        <v>74000000</v>
      </c>
      <c r="S72" s="11">
        <v>108400000</v>
      </c>
    </row>
    <row r="73" spans="1:19" x14ac:dyDescent="0.25">
      <c r="Q73" s="11"/>
      <c r="R73" s="11"/>
      <c r="S7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0B4B-2BEA-43EE-A861-0B7A9AFE0BD7}">
  <dimension ref="A1:S72"/>
  <sheetViews>
    <sheetView topLeftCell="A67" workbookViewId="0">
      <selection activeCell="J10" sqref="J10"/>
    </sheetView>
  </sheetViews>
  <sheetFormatPr defaultRowHeight="15" x14ac:dyDescent="0.25"/>
  <sheetData>
    <row r="1" spans="1:19" ht="30" x14ac:dyDescent="0.25">
      <c r="A1" s="4" t="s">
        <v>0</v>
      </c>
      <c r="B1" s="4" t="s">
        <v>19</v>
      </c>
      <c r="C1" s="4" t="s">
        <v>20</v>
      </c>
      <c r="D1" s="4" t="s">
        <v>21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</row>
    <row r="2" spans="1:19" x14ac:dyDescent="0.25">
      <c r="A2" s="5">
        <v>2030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</row>
    <row r="3" spans="1:19" x14ac:dyDescent="0.25">
      <c r="A3" s="3">
        <v>2031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</row>
    <row r="4" spans="1:19" x14ac:dyDescent="0.25">
      <c r="A4" s="3">
        <v>2032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</row>
    <row r="5" spans="1:19" x14ac:dyDescent="0.25">
      <c r="A5" s="3">
        <v>2033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</row>
    <row r="6" spans="1:19" x14ac:dyDescent="0.25">
      <c r="A6" s="3">
        <v>2034</v>
      </c>
      <c r="B6" s="5">
        <v>0</v>
      </c>
      <c r="C6" s="5">
        <v>0</v>
      </c>
      <c r="D6" s="5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3">
        <v>2035</v>
      </c>
      <c r="B7" s="5">
        <v>0</v>
      </c>
      <c r="C7" s="5">
        <v>0</v>
      </c>
      <c r="D7" s="5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3">
        <v>2036</v>
      </c>
      <c r="B8" s="5">
        <v>0</v>
      </c>
      <c r="C8" s="5">
        <v>0</v>
      </c>
      <c r="D8" s="5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s="3">
        <v>2037</v>
      </c>
      <c r="B9" s="5">
        <v>0</v>
      </c>
      <c r="C9" s="5">
        <v>0</v>
      </c>
      <c r="D9" s="5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s="3">
        <v>2038</v>
      </c>
      <c r="B10" s="5">
        <v>0</v>
      </c>
      <c r="C10" s="5">
        <v>0</v>
      </c>
      <c r="D10" s="5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s="3">
        <v>2039</v>
      </c>
      <c r="B11" s="5">
        <v>0</v>
      </c>
      <c r="C11" s="5">
        <v>0</v>
      </c>
      <c r="D11" s="5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s="3">
        <v>2040</v>
      </c>
      <c r="B12" s="5">
        <v>0</v>
      </c>
      <c r="C12" s="5">
        <v>0</v>
      </c>
      <c r="D12" s="5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3">
        <v>2041</v>
      </c>
      <c r="B13" s="5">
        <v>0</v>
      </c>
      <c r="C13" s="5">
        <v>0</v>
      </c>
      <c r="D13" s="5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3">
        <v>2042</v>
      </c>
      <c r="B14" s="5">
        <v>0</v>
      </c>
      <c r="C14" s="5">
        <v>0</v>
      </c>
      <c r="D14" s="5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3">
        <v>2043</v>
      </c>
      <c r="B15" s="5">
        <v>0</v>
      </c>
      <c r="C15" s="5">
        <v>0</v>
      </c>
      <c r="D15" s="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3">
        <v>2044</v>
      </c>
      <c r="B16" s="5">
        <v>0</v>
      </c>
      <c r="C16" s="5">
        <v>0</v>
      </c>
      <c r="D16" s="5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3">
        <v>2045</v>
      </c>
      <c r="B17" s="5">
        <v>0</v>
      </c>
      <c r="C17" s="5">
        <v>0</v>
      </c>
      <c r="D17" s="5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3">
        <v>2046</v>
      </c>
      <c r="B18" s="5">
        <v>0</v>
      </c>
      <c r="C18" s="5">
        <v>0</v>
      </c>
      <c r="D18" s="5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3">
        <v>2047</v>
      </c>
      <c r="B19" s="5">
        <v>0</v>
      </c>
      <c r="C19" s="5">
        <v>0</v>
      </c>
      <c r="D19" s="5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3">
        <v>2048</v>
      </c>
      <c r="B20" s="5">
        <v>0</v>
      </c>
      <c r="C20" s="5">
        <v>0</v>
      </c>
      <c r="D20" s="5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3">
        <v>2049</v>
      </c>
      <c r="B21" s="5">
        <v>0</v>
      </c>
      <c r="C21" s="5">
        <v>0</v>
      </c>
      <c r="D21" s="5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s="3">
        <v>2050</v>
      </c>
      <c r="B22" s="5">
        <v>0</v>
      </c>
      <c r="C22" s="5">
        <v>0</v>
      </c>
      <c r="D22" s="5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s="3">
        <v>2051</v>
      </c>
      <c r="B23" s="5">
        <v>0</v>
      </c>
      <c r="C23" s="5">
        <v>0</v>
      </c>
      <c r="D23" s="5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</row>
    <row r="24" spans="1:19" x14ac:dyDescent="0.25">
      <c r="A24" s="3">
        <v>2052</v>
      </c>
      <c r="B24" s="5">
        <v>0</v>
      </c>
      <c r="C24" s="5">
        <v>0</v>
      </c>
      <c r="D24" s="5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</row>
    <row r="25" spans="1:19" x14ac:dyDescent="0.25">
      <c r="A25" s="3">
        <v>2053</v>
      </c>
      <c r="B25" s="5">
        <v>0</v>
      </c>
      <c r="C25" s="5">
        <v>0</v>
      </c>
      <c r="D25" s="5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</row>
    <row r="26" spans="1:19" x14ac:dyDescent="0.25">
      <c r="A26" s="3">
        <v>2054</v>
      </c>
      <c r="B26" s="5">
        <v>0</v>
      </c>
      <c r="C26" s="5">
        <v>0</v>
      </c>
      <c r="D26" s="5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</row>
    <row r="27" spans="1:19" x14ac:dyDescent="0.25">
      <c r="A27" s="3">
        <v>2055</v>
      </c>
      <c r="B27" s="5">
        <v>0</v>
      </c>
      <c r="C27" s="5">
        <v>0</v>
      </c>
      <c r="D27" s="5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</row>
    <row r="28" spans="1:19" x14ac:dyDescent="0.25">
      <c r="A28" s="3">
        <v>2056</v>
      </c>
      <c r="B28" s="5">
        <v>0</v>
      </c>
      <c r="C28" s="5">
        <v>0</v>
      </c>
      <c r="D28" s="5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</row>
    <row r="29" spans="1:19" x14ac:dyDescent="0.25">
      <c r="A29" s="3">
        <v>2057</v>
      </c>
      <c r="B29" s="5">
        <v>0</v>
      </c>
      <c r="C29" s="5">
        <v>0</v>
      </c>
      <c r="D29" s="5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</row>
    <row r="30" spans="1:19" x14ac:dyDescent="0.25">
      <c r="A30" s="3">
        <v>2058</v>
      </c>
      <c r="B30" s="5">
        <v>0</v>
      </c>
      <c r="C30" s="5">
        <v>0</v>
      </c>
      <c r="D30" s="5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</row>
    <row r="31" spans="1:19" x14ac:dyDescent="0.25">
      <c r="A31" s="3">
        <v>2059</v>
      </c>
      <c r="B31" s="5">
        <v>0</v>
      </c>
      <c r="C31" s="5">
        <v>0</v>
      </c>
      <c r="D31" s="5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</row>
    <row r="32" spans="1:19" x14ac:dyDescent="0.25">
      <c r="A32" s="3">
        <v>2060</v>
      </c>
      <c r="B32" s="5">
        <v>0</v>
      </c>
      <c r="C32" s="5">
        <v>0</v>
      </c>
      <c r="D32" s="5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</row>
    <row r="33" spans="1:19" x14ac:dyDescent="0.25">
      <c r="A33" s="3">
        <v>2061</v>
      </c>
      <c r="B33" s="5">
        <v>0</v>
      </c>
      <c r="C33" s="5">
        <v>0</v>
      </c>
      <c r="D33" s="5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</row>
    <row r="34" spans="1:19" x14ac:dyDescent="0.25">
      <c r="A34" s="3">
        <v>2062</v>
      </c>
      <c r="B34" s="5">
        <v>0</v>
      </c>
      <c r="C34" s="5">
        <v>0</v>
      </c>
      <c r="D34" s="5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</row>
    <row r="35" spans="1:19" x14ac:dyDescent="0.25">
      <c r="A35" s="3">
        <v>2063</v>
      </c>
      <c r="B35" s="5">
        <v>0</v>
      </c>
      <c r="C35" s="5">
        <v>0</v>
      </c>
      <c r="D35" s="5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</row>
    <row r="36" spans="1:19" x14ac:dyDescent="0.25">
      <c r="A36" s="3">
        <v>2064</v>
      </c>
      <c r="B36" s="5">
        <v>0</v>
      </c>
      <c r="C36" s="5">
        <v>0</v>
      </c>
      <c r="D36" s="5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</row>
    <row r="37" spans="1:19" x14ac:dyDescent="0.25">
      <c r="A37" s="3">
        <v>2065</v>
      </c>
      <c r="B37" s="5">
        <v>0</v>
      </c>
      <c r="C37" s="5">
        <v>0</v>
      </c>
      <c r="D37" s="5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</row>
    <row r="38" spans="1:19" x14ac:dyDescent="0.25">
      <c r="A38" s="3">
        <v>2066</v>
      </c>
      <c r="B38" s="5">
        <v>0</v>
      </c>
      <c r="C38" s="5">
        <v>0</v>
      </c>
      <c r="D38" s="5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</row>
    <row r="39" spans="1:19" x14ac:dyDescent="0.25">
      <c r="A39" s="3">
        <v>2067</v>
      </c>
      <c r="B39" s="5">
        <v>0</v>
      </c>
      <c r="C39" s="5">
        <v>0</v>
      </c>
      <c r="D39" s="5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</row>
    <row r="40" spans="1:19" x14ac:dyDescent="0.25">
      <c r="A40" s="3">
        <v>2068</v>
      </c>
      <c r="B40" s="5">
        <v>0</v>
      </c>
      <c r="C40" s="5">
        <v>0</v>
      </c>
      <c r="D40" s="5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</row>
    <row r="41" spans="1:19" x14ac:dyDescent="0.25">
      <c r="A41" s="3">
        <v>2069</v>
      </c>
      <c r="B41" s="5">
        <v>0</v>
      </c>
      <c r="C41" s="5">
        <v>0</v>
      </c>
      <c r="D41" s="5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</row>
    <row r="42" spans="1:19" x14ac:dyDescent="0.25">
      <c r="A42" s="3">
        <v>2070</v>
      </c>
      <c r="B42" s="5">
        <v>0</v>
      </c>
      <c r="C42" s="5">
        <v>0</v>
      </c>
      <c r="D42" s="5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</row>
    <row r="43" spans="1:19" x14ac:dyDescent="0.25">
      <c r="A43" s="3">
        <v>2071</v>
      </c>
      <c r="B43" s="5">
        <v>0</v>
      </c>
      <c r="C43" s="5">
        <v>0</v>
      </c>
      <c r="D43" s="5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</row>
    <row r="44" spans="1:19" x14ac:dyDescent="0.25">
      <c r="A44" s="3">
        <v>2072</v>
      </c>
      <c r="B44" s="5">
        <v>0</v>
      </c>
      <c r="C44" s="5">
        <v>0</v>
      </c>
      <c r="D44" s="5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</row>
    <row r="45" spans="1:19" x14ac:dyDescent="0.25">
      <c r="A45" s="3">
        <v>2073</v>
      </c>
      <c r="B45" s="5">
        <v>0</v>
      </c>
      <c r="C45" s="5">
        <v>0</v>
      </c>
      <c r="D45" s="5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</row>
    <row r="46" spans="1:19" x14ac:dyDescent="0.25">
      <c r="A46" s="3">
        <v>2074</v>
      </c>
      <c r="B46" s="5">
        <v>0</v>
      </c>
      <c r="C46" s="5">
        <v>0</v>
      </c>
      <c r="D46" s="5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</row>
    <row r="47" spans="1:19" x14ac:dyDescent="0.25">
      <c r="A47" s="3">
        <v>2075</v>
      </c>
      <c r="B47" s="5">
        <v>0</v>
      </c>
      <c r="C47" s="5">
        <v>0</v>
      </c>
      <c r="D47" s="5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</row>
    <row r="48" spans="1:19" x14ac:dyDescent="0.25">
      <c r="A48" s="3">
        <v>2076</v>
      </c>
      <c r="B48" s="5">
        <v>0</v>
      </c>
      <c r="C48" s="5">
        <v>0</v>
      </c>
      <c r="D48" s="5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</row>
    <row r="49" spans="1:19" x14ac:dyDescent="0.25">
      <c r="A49" s="3">
        <v>2077</v>
      </c>
      <c r="B49" s="5">
        <v>0</v>
      </c>
      <c r="C49" s="5">
        <v>0</v>
      </c>
      <c r="D49" s="5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</row>
    <row r="50" spans="1:19" x14ac:dyDescent="0.25">
      <c r="A50" s="3">
        <v>2078</v>
      </c>
      <c r="B50" s="5">
        <v>0</v>
      </c>
      <c r="C50" s="5">
        <v>0</v>
      </c>
      <c r="D50" s="5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</row>
    <row r="51" spans="1:19" x14ac:dyDescent="0.25">
      <c r="A51" s="3">
        <v>2079</v>
      </c>
      <c r="B51" s="5">
        <v>0</v>
      </c>
      <c r="C51" s="5">
        <v>0</v>
      </c>
      <c r="D51" s="5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</row>
    <row r="52" spans="1:19" x14ac:dyDescent="0.25">
      <c r="A52" s="3">
        <v>2080</v>
      </c>
      <c r="B52" s="5">
        <v>0</v>
      </c>
      <c r="C52" s="5">
        <v>0</v>
      </c>
      <c r="D52" s="5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3">
        <v>2081</v>
      </c>
      <c r="B53" s="5">
        <v>0</v>
      </c>
      <c r="C53" s="5">
        <v>0</v>
      </c>
      <c r="D53" s="5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3">
        <v>2082</v>
      </c>
      <c r="B54" s="5">
        <v>0</v>
      </c>
      <c r="C54" s="5">
        <v>0</v>
      </c>
      <c r="D54" s="5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s="3">
        <v>2083</v>
      </c>
      <c r="B55" s="5">
        <v>0</v>
      </c>
      <c r="C55" s="5">
        <v>0</v>
      </c>
      <c r="D55" s="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s="3">
        <v>2084</v>
      </c>
      <c r="B56" s="5">
        <v>0</v>
      </c>
      <c r="C56" s="5">
        <v>0</v>
      </c>
      <c r="D56" s="5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s="3">
        <v>2085</v>
      </c>
      <c r="B57" s="5">
        <v>0</v>
      </c>
      <c r="C57" s="5">
        <v>0</v>
      </c>
      <c r="D57" s="5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3">
        <v>2086</v>
      </c>
      <c r="B58" s="5">
        <v>0</v>
      </c>
      <c r="C58" s="5">
        <v>0</v>
      </c>
      <c r="D58" s="5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s="3">
        <v>2087</v>
      </c>
      <c r="B59" s="5">
        <v>0</v>
      </c>
      <c r="C59" s="5">
        <v>0</v>
      </c>
      <c r="D59" s="5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3">
        <v>2088</v>
      </c>
      <c r="B60" s="5">
        <v>0</v>
      </c>
      <c r="C60" s="5">
        <v>0</v>
      </c>
      <c r="D60" s="5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s="3">
        <v>2089</v>
      </c>
      <c r="B61" s="5">
        <v>0</v>
      </c>
      <c r="C61" s="5">
        <v>0</v>
      </c>
      <c r="D61" s="5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s="3">
        <v>2090</v>
      </c>
      <c r="B62" s="5">
        <v>0</v>
      </c>
      <c r="C62" s="5">
        <v>0</v>
      </c>
      <c r="D62" s="5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s="3">
        <v>2091</v>
      </c>
      <c r="B63" s="5">
        <v>0</v>
      </c>
      <c r="C63" s="5">
        <v>0</v>
      </c>
      <c r="D63" s="5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s="3">
        <v>2092</v>
      </c>
      <c r="B64" s="5">
        <v>0</v>
      </c>
      <c r="C64" s="5">
        <v>0</v>
      </c>
      <c r="D64" s="5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s="3">
        <v>2093</v>
      </c>
      <c r="B65" s="5">
        <v>0</v>
      </c>
      <c r="C65" s="5">
        <v>0</v>
      </c>
      <c r="D65" s="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s="3">
        <v>2094</v>
      </c>
      <c r="B66" s="5">
        <v>0</v>
      </c>
      <c r="C66" s="5">
        <v>0</v>
      </c>
      <c r="D66" s="5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s="3">
        <v>2095</v>
      </c>
      <c r="B67" s="5">
        <v>0</v>
      </c>
      <c r="C67" s="5">
        <v>0</v>
      </c>
      <c r="D67" s="5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s="3">
        <v>2096</v>
      </c>
      <c r="B68" s="5">
        <v>0</v>
      </c>
      <c r="C68" s="5">
        <v>0</v>
      </c>
      <c r="D68" s="5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s="3">
        <v>2097</v>
      </c>
      <c r="B69" s="5">
        <v>0</v>
      </c>
      <c r="C69" s="5">
        <v>0</v>
      </c>
      <c r="D69" s="5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s="3">
        <v>2098</v>
      </c>
      <c r="B70" s="5">
        <v>0</v>
      </c>
      <c r="C70" s="5">
        <v>0</v>
      </c>
      <c r="D70" s="5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s="3">
        <v>2099</v>
      </c>
      <c r="B71" s="5">
        <v>0</v>
      </c>
      <c r="C71" s="5">
        <v>0</v>
      </c>
      <c r="D71" s="5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s="3">
        <v>2100</v>
      </c>
      <c r="B72" s="5">
        <v>0</v>
      </c>
      <c r="C72" s="5">
        <v>0</v>
      </c>
      <c r="D72" s="5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5CC1-FCC4-4DFC-BEEA-10F6E626168F}">
  <dimension ref="A1:S77"/>
  <sheetViews>
    <sheetView zoomScaleNormal="100" workbookViewId="0">
      <pane xSplit="1" topLeftCell="C1" activePane="topRight" state="frozen"/>
      <selection pane="topRight" activeCell="H16" sqref="H16"/>
    </sheetView>
  </sheetViews>
  <sheetFormatPr defaultRowHeight="15" x14ac:dyDescent="0.25"/>
  <cols>
    <col min="2" max="2" width="11.28515625" customWidth="1"/>
    <col min="3" max="3" width="12.28515625" customWidth="1"/>
    <col min="4" max="4" width="12.140625" customWidth="1"/>
    <col min="5" max="5" width="10.42578125" customWidth="1"/>
    <col min="6" max="6" width="12.85546875" customWidth="1"/>
    <col min="7" max="7" width="9.5703125" customWidth="1"/>
    <col min="8" max="8" width="12.28515625" customWidth="1"/>
    <col min="9" max="9" width="12.5703125" customWidth="1"/>
    <col min="10" max="10" width="12" customWidth="1"/>
    <col min="11" max="11" width="10.42578125" customWidth="1"/>
    <col min="12" max="12" width="11.7109375" customWidth="1"/>
    <col min="13" max="13" width="10.28515625" customWidth="1"/>
    <col min="14" max="14" width="10.5703125" customWidth="1"/>
    <col min="15" max="15" width="11.42578125" customWidth="1"/>
    <col min="16" max="16" width="10.140625" customWidth="1"/>
    <col min="17" max="17" width="10.28515625" customWidth="1"/>
    <col min="18" max="18" width="11.140625" customWidth="1"/>
    <col min="19" max="19" width="11.85546875" customWidth="1"/>
  </cols>
  <sheetData>
    <row r="1" spans="1:19" ht="30" x14ac:dyDescent="0.25">
      <c r="A1" s="6" t="s">
        <v>0</v>
      </c>
      <c r="B1" s="17" t="s">
        <v>19</v>
      </c>
      <c r="C1" s="17" t="s">
        <v>20</v>
      </c>
      <c r="D1" s="17" t="s">
        <v>21</v>
      </c>
      <c r="E1" s="17" t="s">
        <v>1</v>
      </c>
      <c r="F1" s="17" t="s">
        <v>2</v>
      </c>
      <c r="G1" s="17" t="s">
        <v>3</v>
      </c>
      <c r="H1" s="17" t="s">
        <v>4</v>
      </c>
      <c r="I1" s="17" t="s">
        <v>5</v>
      </c>
      <c r="J1" s="17" t="s">
        <v>6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20" t="s">
        <v>13</v>
      </c>
      <c r="R1" s="20" t="s">
        <v>14</v>
      </c>
      <c r="S1" s="20" t="s">
        <v>15</v>
      </c>
    </row>
    <row r="2" spans="1:19" x14ac:dyDescent="0.25">
      <c r="A2" s="3">
        <v>2030</v>
      </c>
      <c r="B2" s="12">
        <v>1</v>
      </c>
      <c r="C2" s="12">
        <v>1</v>
      </c>
      <c r="D2" s="12">
        <v>1</v>
      </c>
      <c r="E2" s="12">
        <v>1</v>
      </c>
      <c r="F2" s="12">
        <v>1</v>
      </c>
      <c r="G2" s="12">
        <v>1</v>
      </c>
      <c r="H2" s="12">
        <v>1</v>
      </c>
      <c r="I2" s="12">
        <v>1</v>
      </c>
      <c r="J2" s="12">
        <v>1</v>
      </c>
      <c r="K2" s="12">
        <v>1</v>
      </c>
      <c r="L2" s="12">
        <v>1</v>
      </c>
      <c r="M2" s="12">
        <v>1</v>
      </c>
      <c r="N2" s="12">
        <v>1</v>
      </c>
      <c r="O2" s="12">
        <v>1</v>
      </c>
      <c r="P2" s="12">
        <v>1</v>
      </c>
      <c r="Q2" s="12">
        <v>1</v>
      </c>
      <c r="R2" s="12">
        <v>1</v>
      </c>
      <c r="S2" s="12">
        <v>1</v>
      </c>
    </row>
    <row r="3" spans="1:19" x14ac:dyDescent="0.25">
      <c r="A3" s="3">
        <v>2031</v>
      </c>
      <c r="B3">
        <v>0.96</v>
      </c>
      <c r="C3">
        <v>0.95</v>
      </c>
      <c r="D3">
        <v>0.95</v>
      </c>
      <c r="E3">
        <v>0.98</v>
      </c>
      <c r="F3" s="21">
        <f>F2-0.012</f>
        <v>0.98799999999999999</v>
      </c>
      <c r="G3" s="21">
        <f>G2-0.004</f>
        <v>0.996</v>
      </c>
      <c r="H3">
        <v>0.99</v>
      </c>
      <c r="I3">
        <v>0.99</v>
      </c>
      <c r="J3">
        <v>0.998</v>
      </c>
      <c r="K3">
        <v>0.99</v>
      </c>
      <c r="L3" s="12">
        <v>0.999</v>
      </c>
      <c r="M3">
        <v>0.995</v>
      </c>
      <c r="N3">
        <v>0.98</v>
      </c>
      <c r="O3">
        <v>0.99</v>
      </c>
      <c r="P3" s="12">
        <v>0.998</v>
      </c>
      <c r="Q3">
        <v>0.98</v>
      </c>
      <c r="R3">
        <v>0.98</v>
      </c>
      <c r="S3">
        <v>0.99</v>
      </c>
    </row>
    <row r="4" spans="1:19" x14ac:dyDescent="0.25">
      <c r="A4" s="3">
        <v>2032</v>
      </c>
      <c r="B4">
        <v>0.91400000000000003</v>
      </c>
      <c r="C4">
        <v>0.92</v>
      </c>
      <c r="D4">
        <v>0.92</v>
      </c>
      <c r="E4">
        <v>0.96</v>
      </c>
      <c r="F4" s="21">
        <f t="shared" ref="F4:F26" si="0">F3-0.012</f>
        <v>0.97599999999999998</v>
      </c>
      <c r="G4" s="21">
        <f t="shared" ref="G4:G26" si="1">G3-0.004</f>
        <v>0.99199999999999999</v>
      </c>
      <c r="H4">
        <v>0.98</v>
      </c>
      <c r="I4">
        <v>0.99</v>
      </c>
      <c r="J4">
        <v>0.996</v>
      </c>
      <c r="K4">
        <v>0.98</v>
      </c>
      <c r="L4" s="12">
        <v>0.998</v>
      </c>
      <c r="M4">
        <v>0.99</v>
      </c>
      <c r="N4">
        <v>0.96</v>
      </c>
      <c r="O4">
        <v>0.98</v>
      </c>
      <c r="P4" s="12">
        <v>0.996</v>
      </c>
      <c r="Q4">
        <v>0.96</v>
      </c>
      <c r="R4">
        <v>0.96</v>
      </c>
      <c r="S4">
        <v>0.98</v>
      </c>
    </row>
    <row r="5" spans="1:19" x14ac:dyDescent="0.25">
      <c r="A5" s="3">
        <v>2033</v>
      </c>
      <c r="B5">
        <v>0.873</v>
      </c>
      <c r="C5">
        <v>0.88</v>
      </c>
      <c r="D5">
        <v>0.9</v>
      </c>
      <c r="E5">
        <v>0.94</v>
      </c>
      <c r="F5" s="21">
        <f t="shared" si="0"/>
        <v>0.96399999999999997</v>
      </c>
      <c r="G5" s="21">
        <f t="shared" si="1"/>
        <v>0.98799999999999999</v>
      </c>
      <c r="H5">
        <v>0.97</v>
      </c>
      <c r="I5">
        <v>0.98</v>
      </c>
      <c r="J5">
        <v>0.99</v>
      </c>
      <c r="K5">
        <v>0.97</v>
      </c>
      <c r="L5" s="12">
        <v>0.997</v>
      </c>
      <c r="M5">
        <v>0.98499999999999999</v>
      </c>
      <c r="N5">
        <v>0.94</v>
      </c>
      <c r="O5">
        <v>0.97499999999999998</v>
      </c>
      <c r="P5" s="12">
        <v>0.99399999999999999</v>
      </c>
      <c r="Q5">
        <v>0.94</v>
      </c>
      <c r="R5">
        <v>0.94</v>
      </c>
      <c r="S5">
        <v>0.97499999999999998</v>
      </c>
    </row>
    <row r="6" spans="1:19" x14ac:dyDescent="0.25">
      <c r="A6" s="3">
        <v>2034</v>
      </c>
      <c r="B6">
        <v>0.83499999999999996</v>
      </c>
      <c r="C6">
        <v>0.85</v>
      </c>
      <c r="D6">
        <v>0.88</v>
      </c>
      <c r="E6">
        <v>0.92</v>
      </c>
      <c r="F6" s="21">
        <f t="shared" si="0"/>
        <v>0.95199999999999996</v>
      </c>
      <c r="G6" s="21">
        <f t="shared" si="1"/>
        <v>0.98399999999999999</v>
      </c>
      <c r="H6">
        <v>0.96</v>
      </c>
      <c r="I6">
        <v>0.98</v>
      </c>
      <c r="J6">
        <v>0.98499999999999999</v>
      </c>
      <c r="K6">
        <v>0.96</v>
      </c>
      <c r="L6" s="12">
        <v>0.996</v>
      </c>
      <c r="M6">
        <v>0.98</v>
      </c>
      <c r="N6">
        <v>0.92</v>
      </c>
      <c r="O6">
        <v>0.97</v>
      </c>
      <c r="P6" s="12">
        <v>0.99199999999999999</v>
      </c>
      <c r="Q6">
        <v>0.92</v>
      </c>
      <c r="R6">
        <v>0.93</v>
      </c>
      <c r="S6">
        <v>0.97</v>
      </c>
    </row>
    <row r="7" spans="1:19" x14ac:dyDescent="0.25">
      <c r="A7" s="3">
        <v>2035</v>
      </c>
      <c r="B7" s="12">
        <v>0.8</v>
      </c>
      <c r="C7" s="12">
        <v>0.82000000000000006</v>
      </c>
      <c r="D7" s="12">
        <v>0.87</v>
      </c>
      <c r="E7" s="12">
        <v>0.9</v>
      </c>
      <c r="F7" s="21">
        <f t="shared" si="0"/>
        <v>0.94</v>
      </c>
      <c r="G7" s="21">
        <f t="shared" si="1"/>
        <v>0.98</v>
      </c>
      <c r="H7" s="12">
        <v>0.95</v>
      </c>
      <c r="I7" s="12">
        <v>0.97</v>
      </c>
      <c r="J7" s="12">
        <v>0.98</v>
      </c>
      <c r="K7" s="12">
        <v>0.95</v>
      </c>
      <c r="L7" s="12">
        <v>0.995</v>
      </c>
      <c r="M7" s="12">
        <v>0.97499999999999998</v>
      </c>
      <c r="N7" s="12">
        <v>0.9</v>
      </c>
      <c r="O7" s="12">
        <v>0.96799999999999997</v>
      </c>
      <c r="P7" s="12">
        <v>0.99</v>
      </c>
      <c r="Q7" s="12">
        <v>0.9</v>
      </c>
      <c r="R7" s="12">
        <v>0.92</v>
      </c>
      <c r="S7" s="12">
        <v>0.96499999999999997</v>
      </c>
    </row>
    <row r="8" spans="1:19" x14ac:dyDescent="0.25">
      <c r="A8" s="3">
        <v>2036</v>
      </c>
      <c r="B8">
        <v>0.77600000000000002</v>
      </c>
      <c r="C8">
        <v>0.79</v>
      </c>
      <c r="D8">
        <v>0.86</v>
      </c>
      <c r="E8">
        <v>0.88</v>
      </c>
      <c r="F8" s="21">
        <f t="shared" si="0"/>
        <v>0.92799999999999994</v>
      </c>
      <c r="G8" s="21">
        <f t="shared" si="1"/>
        <v>0.97599999999999998</v>
      </c>
      <c r="H8">
        <v>0.94</v>
      </c>
      <c r="I8">
        <v>0.96</v>
      </c>
      <c r="J8">
        <v>0.97</v>
      </c>
      <c r="K8">
        <v>0.94</v>
      </c>
      <c r="L8" s="12">
        <v>0.99399999999999999</v>
      </c>
      <c r="M8">
        <v>0.97</v>
      </c>
      <c r="N8">
        <v>0.88</v>
      </c>
      <c r="O8" s="12">
        <v>0.96499999999999997</v>
      </c>
      <c r="P8" s="12">
        <v>0.98799999999999999</v>
      </c>
      <c r="Q8" s="12">
        <v>0.88</v>
      </c>
      <c r="R8">
        <v>0.91</v>
      </c>
      <c r="S8" s="12">
        <v>0.96</v>
      </c>
    </row>
    <row r="9" spans="1:19" x14ac:dyDescent="0.25">
      <c r="A9" s="3">
        <v>2037</v>
      </c>
      <c r="B9">
        <v>0.752</v>
      </c>
      <c r="C9">
        <v>0.76</v>
      </c>
      <c r="D9">
        <v>0.85</v>
      </c>
      <c r="E9">
        <v>0.86</v>
      </c>
      <c r="F9" s="21">
        <f t="shared" si="0"/>
        <v>0.91599999999999993</v>
      </c>
      <c r="G9" s="21">
        <f t="shared" si="1"/>
        <v>0.97199999999999998</v>
      </c>
      <c r="H9">
        <v>0.93</v>
      </c>
      <c r="I9">
        <v>0.95</v>
      </c>
      <c r="J9">
        <v>0.96</v>
      </c>
      <c r="K9">
        <v>0.93</v>
      </c>
      <c r="L9" s="12">
        <v>0.99299999999999999</v>
      </c>
      <c r="M9">
        <v>0.96499999999999997</v>
      </c>
      <c r="N9">
        <v>0.86</v>
      </c>
      <c r="O9" s="12">
        <v>0.96</v>
      </c>
      <c r="P9" s="12">
        <v>0.98599999999999999</v>
      </c>
      <c r="Q9" s="12">
        <v>0.86</v>
      </c>
      <c r="R9">
        <v>0.9</v>
      </c>
      <c r="S9" s="12">
        <v>0.95499999999999996</v>
      </c>
    </row>
    <row r="10" spans="1:19" x14ac:dyDescent="0.25">
      <c r="A10" s="3">
        <v>2038</v>
      </c>
      <c r="B10">
        <v>0.72799999999999998</v>
      </c>
      <c r="C10">
        <v>0.74</v>
      </c>
      <c r="D10">
        <v>0.84</v>
      </c>
      <c r="E10">
        <v>0.84</v>
      </c>
      <c r="F10" s="21">
        <f t="shared" si="0"/>
        <v>0.90399999999999991</v>
      </c>
      <c r="G10" s="21">
        <f t="shared" si="1"/>
        <v>0.96799999999999997</v>
      </c>
      <c r="H10" s="12">
        <v>0.92</v>
      </c>
      <c r="I10">
        <v>0.94</v>
      </c>
      <c r="J10" s="12">
        <v>0.95</v>
      </c>
      <c r="K10">
        <v>0.92</v>
      </c>
      <c r="L10" s="12">
        <v>0.99199999999999999</v>
      </c>
      <c r="M10">
        <v>0.96</v>
      </c>
      <c r="N10" s="12">
        <v>0.84</v>
      </c>
      <c r="O10" s="12">
        <v>0.95</v>
      </c>
      <c r="P10" s="12">
        <v>0.98399999999999999</v>
      </c>
      <c r="Q10" s="12">
        <v>0.84</v>
      </c>
      <c r="R10">
        <v>0.89</v>
      </c>
      <c r="S10" s="12">
        <v>0.95</v>
      </c>
    </row>
    <row r="11" spans="1:19" x14ac:dyDescent="0.25">
      <c r="A11" s="3">
        <v>2039</v>
      </c>
      <c r="B11">
        <v>0.71</v>
      </c>
      <c r="C11">
        <v>0.72</v>
      </c>
      <c r="D11">
        <v>0.83</v>
      </c>
      <c r="E11">
        <v>0.82</v>
      </c>
      <c r="F11" s="21">
        <f t="shared" si="0"/>
        <v>0.8919999999999999</v>
      </c>
      <c r="G11" s="21">
        <f t="shared" si="1"/>
        <v>0.96399999999999997</v>
      </c>
      <c r="H11">
        <v>0.91</v>
      </c>
      <c r="I11">
        <v>0.93</v>
      </c>
      <c r="J11">
        <v>0.94</v>
      </c>
      <c r="K11">
        <v>0.91</v>
      </c>
      <c r="L11" s="12">
        <v>0.99099999999999999</v>
      </c>
      <c r="M11">
        <v>0.95499999999999996</v>
      </c>
      <c r="N11">
        <v>0.82</v>
      </c>
      <c r="O11" s="12">
        <v>0.94</v>
      </c>
      <c r="P11" s="12">
        <v>0.98199999999999998</v>
      </c>
      <c r="Q11" s="12">
        <v>0.82</v>
      </c>
      <c r="R11">
        <v>0.88</v>
      </c>
      <c r="S11" s="12">
        <v>0.94499999999999995</v>
      </c>
    </row>
    <row r="12" spans="1:19" x14ac:dyDescent="0.25">
      <c r="A12" s="3">
        <v>2040</v>
      </c>
      <c r="B12" s="12">
        <v>0.69</v>
      </c>
      <c r="C12" s="12">
        <v>0.71</v>
      </c>
      <c r="D12" s="12">
        <v>0.82499999999999996</v>
      </c>
      <c r="E12" s="12">
        <v>0.8</v>
      </c>
      <c r="F12" s="21">
        <f t="shared" si="0"/>
        <v>0.87999999999999989</v>
      </c>
      <c r="G12" s="21">
        <f t="shared" si="1"/>
        <v>0.96</v>
      </c>
      <c r="H12" s="12">
        <v>0.9</v>
      </c>
      <c r="I12" s="12">
        <v>0.92</v>
      </c>
      <c r="J12" s="12">
        <v>0.93</v>
      </c>
      <c r="K12" s="12">
        <v>0.9</v>
      </c>
      <c r="L12" s="12">
        <v>0.99</v>
      </c>
      <c r="M12" s="12">
        <v>0.95</v>
      </c>
      <c r="N12" s="12">
        <v>0.8</v>
      </c>
      <c r="O12" s="12">
        <v>0.93</v>
      </c>
      <c r="P12" s="12">
        <v>0.98</v>
      </c>
      <c r="Q12" s="12">
        <v>0.8</v>
      </c>
      <c r="R12" s="12">
        <v>0.875</v>
      </c>
      <c r="S12" s="12">
        <v>0.94</v>
      </c>
    </row>
    <row r="13" spans="1:19" x14ac:dyDescent="0.25">
      <c r="A13" s="3">
        <v>2041</v>
      </c>
      <c r="B13">
        <v>0.65</v>
      </c>
      <c r="C13">
        <v>0.69499999999999995</v>
      </c>
      <c r="D13">
        <v>0.82</v>
      </c>
      <c r="E13">
        <v>0.78</v>
      </c>
      <c r="F13" s="21">
        <f t="shared" si="0"/>
        <v>0.86799999999999988</v>
      </c>
      <c r="G13" s="21">
        <f t="shared" si="1"/>
        <v>0.95599999999999996</v>
      </c>
      <c r="H13">
        <v>0.88500000000000001</v>
      </c>
      <c r="I13">
        <v>0.91</v>
      </c>
      <c r="J13">
        <v>0.92500000000000004</v>
      </c>
      <c r="K13">
        <v>0.89</v>
      </c>
      <c r="L13" s="12">
        <v>0.98818351161902196</v>
      </c>
      <c r="M13" s="12">
        <v>0.94799999999999995</v>
      </c>
      <c r="N13">
        <v>0.78</v>
      </c>
      <c r="O13" s="12">
        <v>0.92</v>
      </c>
      <c r="P13" s="12">
        <v>0.97799999999999998</v>
      </c>
      <c r="Q13" s="12">
        <v>0.79</v>
      </c>
      <c r="R13" s="12">
        <v>0.87</v>
      </c>
      <c r="S13" s="12">
        <v>0.93500000000000005</v>
      </c>
    </row>
    <row r="14" spans="1:19" x14ac:dyDescent="0.25">
      <c r="A14" s="3">
        <v>2042</v>
      </c>
      <c r="B14">
        <v>0.61199999999999999</v>
      </c>
      <c r="C14">
        <v>0.68</v>
      </c>
      <c r="D14">
        <v>0.81499999999999995</v>
      </c>
      <c r="E14">
        <v>0.76</v>
      </c>
      <c r="F14" s="21">
        <f t="shared" si="0"/>
        <v>0.85599999999999987</v>
      </c>
      <c r="G14" s="21">
        <f t="shared" si="1"/>
        <v>0.95199999999999996</v>
      </c>
      <c r="H14" s="12">
        <v>0.87</v>
      </c>
      <c r="I14">
        <v>0.9</v>
      </c>
      <c r="J14" s="12">
        <v>0.92</v>
      </c>
      <c r="K14">
        <v>0.88</v>
      </c>
      <c r="L14" s="12">
        <v>0.98599999999999999</v>
      </c>
      <c r="M14" s="12">
        <v>0.94599999999999995</v>
      </c>
      <c r="N14">
        <v>0.76</v>
      </c>
      <c r="O14" s="12">
        <v>0.91</v>
      </c>
      <c r="P14" s="12">
        <v>0.97499999999999998</v>
      </c>
      <c r="Q14" s="12">
        <v>0.78</v>
      </c>
      <c r="R14">
        <v>0.86</v>
      </c>
      <c r="S14" s="12">
        <v>0.93</v>
      </c>
    </row>
    <row r="15" spans="1:19" x14ac:dyDescent="0.25">
      <c r="A15" s="3">
        <v>2043</v>
      </c>
      <c r="B15">
        <v>0.57499999999999996</v>
      </c>
      <c r="C15">
        <v>0.66500000000000004</v>
      </c>
      <c r="D15">
        <v>0.81</v>
      </c>
      <c r="E15">
        <v>0.74</v>
      </c>
      <c r="F15" s="21">
        <f t="shared" si="0"/>
        <v>0.84399999999999986</v>
      </c>
      <c r="G15" s="21">
        <f t="shared" si="1"/>
        <v>0.94799999999999995</v>
      </c>
      <c r="H15">
        <v>0.86</v>
      </c>
      <c r="I15">
        <v>0.89</v>
      </c>
      <c r="J15">
        <v>0.91500000000000004</v>
      </c>
      <c r="K15">
        <v>0.87</v>
      </c>
      <c r="L15" s="12">
        <v>0.98399999999999999</v>
      </c>
      <c r="M15" s="12">
        <v>0.94399999999999995</v>
      </c>
      <c r="N15">
        <v>0.74</v>
      </c>
      <c r="O15" s="12">
        <v>0.9</v>
      </c>
      <c r="P15" s="12">
        <v>0.97</v>
      </c>
      <c r="Q15" s="12">
        <v>0.77</v>
      </c>
      <c r="R15">
        <v>0.85</v>
      </c>
      <c r="S15" s="12">
        <v>0.92800000000000005</v>
      </c>
    </row>
    <row r="16" spans="1:19" x14ac:dyDescent="0.25">
      <c r="A16" s="3">
        <v>2044</v>
      </c>
      <c r="B16">
        <v>0.53500000000000003</v>
      </c>
      <c r="C16">
        <v>0.65</v>
      </c>
      <c r="D16">
        <v>0.80500000000000005</v>
      </c>
      <c r="E16">
        <v>0.72</v>
      </c>
      <c r="F16" s="21">
        <f t="shared" si="0"/>
        <v>0.83199999999999985</v>
      </c>
      <c r="G16" s="21">
        <f t="shared" si="1"/>
        <v>0.94399999999999995</v>
      </c>
      <c r="H16" s="12">
        <v>0.85</v>
      </c>
      <c r="I16">
        <v>0.88</v>
      </c>
      <c r="J16" s="12">
        <v>0.91</v>
      </c>
      <c r="K16">
        <v>0.86</v>
      </c>
      <c r="L16" s="12">
        <v>0.98199999999999998</v>
      </c>
      <c r="M16" s="12">
        <v>0.94199999999999995</v>
      </c>
      <c r="N16">
        <v>0.72</v>
      </c>
      <c r="O16" s="12">
        <v>0.89</v>
      </c>
      <c r="P16" s="12">
        <v>0.96499999999999997</v>
      </c>
      <c r="Q16" s="12">
        <v>0.76</v>
      </c>
      <c r="R16">
        <v>0.84499999999999997</v>
      </c>
      <c r="S16" s="12">
        <v>0.92500000000000004</v>
      </c>
    </row>
    <row r="17" spans="1:19" x14ac:dyDescent="0.25">
      <c r="A17" s="3">
        <v>2045</v>
      </c>
      <c r="B17" s="12">
        <v>0.5</v>
      </c>
      <c r="C17" s="12">
        <v>0.64</v>
      </c>
      <c r="D17" s="12">
        <v>0.8</v>
      </c>
      <c r="E17" s="12">
        <v>0.7</v>
      </c>
      <c r="F17" s="21">
        <f t="shared" si="0"/>
        <v>0.81999999999999984</v>
      </c>
      <c r="G17" s="21">
        <f t="shared" si="1"/>
        <v>0.94</v>
      </c>
      <c r="H17" s="12">
        <v>0.84</v>
      </c>
      <c r="I17" s="12">
        <v>0.86936708094988813</v>
      </c>
      <c r="J17" s="12">
        <v>0.9</v>
      </c>
      <c r="K17" s="12">
        <v>0.85</v>
      </c>
      <c r="L17" s="12">
        <v>0.98</v>
      </c>
      <c r="M17" s="12">
        <v>0.94</v>
      </c>
      <c r="N17" s="12">
        <v>0.7</v>
      </c>
      <c r="O17" s="12">
        <v>0.88</v>
      </c>
      <c r="P17" s="12">
        <v>0.96</v>
      </c>
      <c r="Q17" s="12">
        <v>0.75</v>
      </c>
      <c r="R17" s="12">
        <v>0.84</v>
      </c>
      <c r="S17" s="12">
        <v>0.92</v>
      </c>
    </row>
    <row r="18" spans="1:19" x14ac:dyDescent="0.25">
      <c r="A18" s="3">
        <v>2046</v>
      </c>
      <c r="B18">
        <v>0.48</v>
      </c>
      <c r="C18" s="12">
        <v>0.63</v>
      </c>
      <c r="D18" s="12">
        <v>0.8</v>
      </c>
      <c r="E18">
        <v>0.68</v>
      </c>
      <c r="F18" s="21">
        <f t="shared" si="0"/>
        <v>0.80799999999999983</v>
      </c>
      <c r="G18" s="21">
        <f t="shared" si="1"/>
        <v>0.93599999999999994</v>
      </c>
      <c r="H18" s="12">
        <v>0.82</v>
      </c>
      <c r="I18">
        <v>0.86</v>
      </c>
      <c r="J18" s="12">
        <v>0.89</v>
      </c>
      <c r="K18" s="12">
        <v>0.84</v>
      </c>
      <c r="L18" s="12">
        <v>0.97</v>
      </c>
      <c r="M18" s="12">
        <v>0.94</v>
      </c>
      <c r="N18">
        <v>0.69</v>
      </c>
      <c r="O18">
        <v>0.87</v>
      </c>
      <c r="P18">
        <v>0.95499999999999996</v>
      </c>
      <c r="Q18">
        <v>0.74</v>
      </c>
      <c r="R18" s="12">
        <v>0.83799999999999997</v>
      </c>
      <c r="S18" s="12">
        <v>0.91800000000000004</v>
      </c>
    </row>
    <row r="19" spans="1:19" x14ac:dyDescent="0.25">
      <c r="A19" s="3">
        <v>2047</v>
      </c>
      <c r="B19">
        <v>0.46</v>
      </c>
      <c r="C19">
        <v>0.62</v>
      </c>
      <c r="D19" s="12">
        <v>0.8</v>
      </c>
      <c r="E19">
        <v>0.66</v>
      </c>
      <c r="F19" s="21">
        <f t="shared" si="0"/>
        <v>0.79599999999999982</v>
      </c>
      <c r="G19" s="21">
        <f t="shared" si="1"/>
        <v>0.93199999999999994</v>
      </c>
      <c r="H19" s="12">
        <v>0.8</v>
      </c>
      <c r="I19">
        <v>0.84</v>
      </c>
      <c r="J19" s="12">
        <v>0.88</v>
      </c>
      <c r="K19" s="12">
        <v>0.83</v>
      </c>
      <c r="L19" s="12">
        <v>0.96</v>
      </c>
      <c r="M19" s="12">
        <v>0.94</v>
      </c>
      <c r="N19">
        <v>0.68</v>
      </c>
      <c r="O19">
        <v>0.86</v>
      </c>
      <c r="P19">
        <v>0.95</v>
      </c>
      <c r="Q19">
        <v>0.73</v>
      </c>
      <c r="R19" s="12">
        <v>0.83499999999999996</v>
      </c>
      <c r="S19" s="12">
        <v>0.91600000000000004</v>
      </c>
    </row>
    <row r="20" spans="1:19" x14ac:dyDescent="0.25">
      <c r="A20" s="3">
        <v>2048</v>
      </c>
      <c r="B20">
        <v>0.44</v>
      </c>
      <c r="C20">
        <v>0.61</v>
      </c>
      <c r="D20" s="12">
        <v>0.8</v>
      </c>
      <c r="E20">
        <v>0.64</v>
      </c>
      <c r="F20" s="21">
        <f t="shared" si="0"/>
        <v>0.78399999999999981</v>
      </c>
      <c r="G20" s="21">
        <f t="shared" si="1"/>
        <v>0.92799999999999994</v>
      </c>
      <c r="H20" s="12">
        <v>0.78</v>
      </c>
      <c r="I20">
        <v>0.83</v>
      </c>
      <c r="J20" s="12">
        <v>0.87</v>
      </c>
      <c r="K20" s="12">
        <v>0.82</v>
      </c>
      <c r="L20" s="12">
        <v>0.95499999999999996</v>
      </c>
      <c r="M20" s="12">
        <v>0.94</v>
      </c>
      <c r="N20">
        <v>0.67</v>
      </c>
      <c r="O20">
        <v>0.85</v>
      </c>
      <c r="P20">
        <v>0.94499999999999995</v>
      </c>
      <c r="Q20">
        <v>0.72</v>
      </c>
      <c r="R20" s="12">
        <v>0.83</v>
      </c>
      <c r="S20" s="12">
        <v>0.91400000000000003</v>
      </c>
    </row>
    <row r="21" spans="1:19" x14ac:dyDescent="0.25">
      <c r="A21" s="3">
        <v>2049</v>
      </c>
      <c r="B21">
        <v>0.42</v>
      </c>
      <c r="C21" s="12">
        <v>0.60499999999999998</v>
      </c>
      <c r="D21" s="12">
        <v>0.8</v>
      </c>
      <c r="E21">
        <v>0.62</v>
      </c>
      <c r="F21" s="21">
        <f t="shared" si="0"/>
        <v>0.7719999999999998</v>
      </c>
      <c r="G21" s="21">
        <f t="shared" si="1"/>
        <v>0.92399999999999993</v>
      </c>
      <c r="H21" s="12">
        <v>0.76</v>
      </c>
      <c r="I21">
        <v>0.81</v>
      </c>
      <c r="J21" s="12">
        <v>0.86</v>
      </c>
      <c r="K21" s="12">
        <v>0.81</v>
      </c>
      <c r="L21" s="12">
        <v>0.95</v>
      </c>
      <c r="M21" s="12">
        <v>0.94</v>
      </c>
      <c r="N21">
        <v>0.66</v>
      </c>
      <c r="O21">
        <v>0.84</v>
      </c>
      <c r="P21">
        <v>0.94</v>
      </c>
      <c r="Q21">
        <v>0.71</v>
      </c>
      <c r="R21" s="12">
        <v>0.82499999999999996</v>
      </c>
      <c r="S21" s="12">
        <v>0.91200000000000003</v>
      </c>
    </row>
    <row r="22" spans="1:19" x14ac:dyDescent="0.25">
      <c r="A22" s="3">
        <v>2050</v>
      </c>
      <c r="B22" s="12">
        <v>0.40500000000000003</v>
      </c>
      <c r="C22" s="12">
        <v>0.60000000000000009</v>
      </c>
      <c r="D22" s="12">
        <v>0.8</v>
      </c>
      <c r="E22" s="12">
        <v>0.6</v>
      </c>
      <c r="F22" s="21">
        <f t="shared" si="0"/>
        <v>0.75999999999999979</v>
      </c>
      <c r="G22" s="21">
        <f t="shared" si="1"/>
        <v>0.91999999999999993</v>
      </c>
      <c r="H22" s="12">
        <v>0.74</v>
      </c>
      <c r="I22" s="12">
        <v>0.79671554364382569</v>
      </c>
      <c r="J22" s="12">
        <v>0.85</v>
      </c>
      <c r="K22" s="12">
        <v>0.8</v>
      </c>
      <c r="L22" s="12">
        <v>0.94499999999999995</v>
      </c>
      <c r="M22" s="12">
        <v>0.93500000000000005</v>
      </c>
      <c r="N22" s="12">
        <v>0.65</v>
      </c>
      <c r="O22" s="12">
        <v>0.83</v>
      </c>
      <c r="P22" s="12">
        <v>0.93500000000000005</v>
      </c>
      <c r="Q22" s="12">
        <v>0.7</v>
      </c>
      <c r="R22" s="12">
        <v>0.82</v>
      </c>
      <c r="S22" s="12">
        <v>0.91</v>
      </c>
    </row>
    <row r="23" spans="1:19" x14ac:dyDescent="0.25">
      <c r="A23" s="3">
        <v>2051</v>
      </c>
      <c r="B23">
        <v>0.38800000000000001</v>
      </c>
      <c r="C23" s="12">
        <v>0.59499999999999997</v>
      </c>
      <c r="D23" s="12">
        <v>0.8</v>
      </c>
      <c r="E23">
        <v>0.57999999999999996</v>
      </c>
      <c r="F23" s="21">
        <f t="shared" si="0"/>
        <v>0.74799999999999978</v>
      </c>
      <c r="G23" s="21">
        <f t="shared" si="1"/>
        <v>0.91599999999999993</v>
      </c>
      <c r="H23" s="12">
        <v>0.72</v>
      </c>
      <c r="I23">
        <v>0.78</v>
      </c>
      <c r="J23">
        <v>0.84</v>
      </c>
      <c r="K23" s="12">
        <v>0.8</v>
      </c>
      <c r="L23">
        <v>0.94</v>
      </c>
      <c r="M23" s="12">
        <v>0.93500000000000005</v>
      </c>
      <c r="N23">
        <v>0.64</v>
      </c>
      <c r="O23" s="12">
        <v>0.82</v>
      </c>
      <c r="P23" s="12">
        <v>0.93</v>
      </c>
      <c r="Q23">
        <v>0.69</v>
      </c>
      <c r="R23" s="12">
        <v>0.81799999999999995</v>
      </c>
      <c r="S23" s="12">
        <v>0.90800000000000003</v>
      </c>
    </row>
    <row r="24" spans="1:19" x14ac:dyDescent="0.25">
      <c r="A24" s="3">
        <v>2052</v>
      </c>
      <c r="B24">
        <v>0.36699999999999999</v>
      </c>
      <c r="C24" s="12">
        <v>0.59</v>
      </c>
      <c r="D24" s="12">
        <v>0.8</v>
      </c>
      <c r="E24">
        <v>0.56000000000000005</v>
      </c>
      <c r="F24" s="21">
        <f t="shared" si="0"/>
        <v>0.73599999999999977</v>
      </c>
      <c r="G24" s="21">
        <f t="shared" si="1"/>
        <v>0.91199999999999992</v>
      </c>
      <c r="H24" s="12">
        <v>0.7</v>
      </c>
      <c r="I24">
        <v>0.76</v>
      </c>
      <c r="J24">
        <v>0.83</v>
      </c>
      <c r="K24" s="12">
        <v>0.8</v>
      </c>
      <c r="L24">
        <v>0.93</v>
      </c>
      <c r="M24" s="12">
        <v>0.93500000000000005</v>
      </c>
      <c r="N24">
        <v>0.63</v>
      </c>
      <c r="O24" s="12">
        <v>0.81</v>
      </c>
      <c r="P24" s="12">
        <v>0.92500000000000004</v>
      </c>
      <c r="Q24">
        <v>0.68</v>
      </c>
      <c r="R24" s="12">
        <v>0.81599999999999995</v>
      </c>
      <c r="S24" s="12">
        <v>0.90600000000000003</v>
      </c>
    </row>
    <row r="25" spans="1:19" x14ac:dyDescent="0.25">
      <c r="A25" s="3">
        <v>2053</v>
      </c>
      <c r="B25">
        <v>0.34699999999999998</v>
      </c>
      <c r="C25" s="12">
        <v>0.58499999999999996</v>
      </c>
      <c r="D25" s="12">
        <v>0.8</v>
      </c>
      <c r="E25">
        <v>0.54</v>
      </c>
      <c r="F25" s="21">
        <f t="shared" si="0"/>
        <v>0.72399999999999975</v>
      </c>
      <c r="G25" s="21">
        <f t="shared" si="1"/>
        <v>0.90799999999999992</v>
      </c>
      <c r="H25" s="12">
        <v>0.68</v>
      </c>
      <c r="I25">
        <v>0.75</v>
      </c>
      <c r="J25">
        <v>0.82</v>
      </c>
      <c r="K25" s="12">
        <v>0.8</v>
      </c>
      <c r="L25">
        <v>0.92</v>
      </c>
      <c r="M25" s="12">
        <v>0.93500000000000005</v>
      </c>
      <c r="N25">
        <v>0.62</v>
      </c>
      <c r="O25" s="12">
        <v>0.80500000000000005</v>
      </c>
      <c r="P25" s="12">
        <v>0.92</v>
      </c>
      <c r="Q25">
        <v>0.67</v>
      </c>
      <c r="R25" s="12">
        <v>0.81399999999999995</v>
      </c>
      <c r="S25" s="12">
        <v>0.90400000000000003</v>
      </c>
    </row>
    <row r="26" spans="1:19" x14ac:dyDescent="0.25">
      <c r="A26" s="3">
        <v>2054</v>
      </c>
      <c r="B26">
        <v>0.33</v>
      </c>
      <c r="C26" s="12">
        <v>0.58199999999999996</v>
      </c>
      <c r="D26" s="12">
        <v>0.8</v>
      </c>
      <c r="E26">
        <v>0.52</v>
      </c>
      <c r="F26" s="21">
        <f t="shared" si="0"/>
        <v>0.71199999999999974</v>
      </c>
      <c r="G26" s="21">
        <f t="shared" si="1"/>
        <v>0.90399999999999991</v>
      </c>
      <c r="H26" s="12">
        <v>0.66</v>
      </c>
      <c r="I26">
        <v>0.74</v>
      </c>
      <c r="J26">
        <v>0.81</v>
      </c>
      <c r="K26" s="12">
        <v>0.8</v>
      </c>
      <c r="L26">
        <v>0.91</v>
      </c>
      <c r="M26" s="12">
        <v>0.93500000000000005</v>
      </c>
      <c r="N26">
        <v>0.61</v>
      </c>
      <c r="O26" s="12">
        <v>0.8</v>
      </c>
      <c r="P26" s="12">
        <v>0.91500000000000004</v>
      </c>
      <c r="Q26">
        <v>0.66</v>
      </c>
      <c r="R26" s="12">
        <v>0.81200000000000006</v>
      </c>
      <c r="S26" s="12">
        <v>0.90200000000000002</v>
      </c>
    </row>
    <row r="27" spans="1:19" x14ac:dyDescent="0.25">
      <c r="A27" s="3">
        <v>2055</v>
      </c>
      <c r="B27" s="12">
        <v>0.32</v>
      </c>
      <c r="C27" s="12">
        <v>0.57999999999999996</v>
      </c>
      <c r="D27" s="12">
        <v>0.8</v>
      </c>
      <c r="E27" s="12">
        <v>0.5</v>
      </c>
      <c r="F27" s="12">
        <v>0.7</v>
      </c>
      <c r="G27" s="12">
        <v>0.9</v>
      </c>
      <c r="H27" s="12">
        <v>0.65</v>
      </c>
      <c r="I27" s="12">
        <v>0.73</v>
      </c>
      <c r="J27" s="12">
        <v>0.8</v>
      </c>
      <c r="K27" s="12">
        <v>0.8</v>
      </c>
      <c r="L27" s="12">
        <v>0.9</v>
      </c>
      <c r="M27" s="12">
        <v>0.93300000000000005</v>
      </c>
      <c r="N27" s="12">
        <v>0.6</v>
      </c>
      <c r="O27" s="12">
        <v>0.79</v>
      </c>
      <c r="P27" s="12">
        <v>0.91</v>
      </c>
      <c r="Q27" s="12">
        <v>0.65</v>
      </c>
      <c r="R27" s="12">
        <v>0.81</v>
      </c>
      <c r="S27" s="12">
        <v>0.9</v>
      </c>
    </row>
    <row r="28" spans="1:19" x14ac:dyDescent="0.25">
      <c r="A28" s="3">
        <v>2056</v>
      </c>
      <c r="B28" s="12">
        <v>0.315</v>
      </c>
      <c r="C28" s="12">
        <v>0.57499999999999996</v>
      </c>
      <c r="D28" s="12">
        <v>0.8</v>
      </c>
      <c r="E28" s="12">
        <v>0.5</v>
      </c>
      <c r="F28" s="12">
        <v>0.7</v>
      </c>
      <c r="G28" s="12">
        <v>0.9</v>
      </c>
      <c r="H28" s="12">
        <v>0.64800000000000002</v>
      </c>
      <c r="I28" s="12">
        <v>0.72799999999999998</v>
      </c>
      <c r="J28" s="12">
        <v>0.8</v>
      </c>
      <c r="K28" s="12">
        <v>0.8</v>
      </c>
      <c r="L28" s="12">
        <v>0.9</v>
      </c>
      <c r="M28" s="12">
        <v>0.93300000000000005</v>
      </c>
      <c r="N28" s="12">
        <v>0.59</v>
      </c>
      <c r="O28" s="12">
        <v>0.78</v>
      </c>
      <c r="P28" s="12">
        <v>0.90800000000000003</v>
      </c>
      <c r="Q28" s="12">
        <v>0.64</v>
      </c>
      <c r="R28" s="12">
        <v>0.80900000000000005</v>
      </c>
      <c r="S28" s="12">
        <v>0.9</v>
      </c>
    </row>
    <row r="29" spans="1:19" x14ac:dyDescent="0.25">
      <c r="A29" s="3">
        <v>2057</v>
      </c>
      <c r="B29" s="12">
        <v>0.31</v>
      </c>
      <c r="C29" s="12">
        <v>0.56999999999999995</v>
      </c>
      <c r="D29" s="12">
        <v>0.8</v>
      </c>
      <c r="E29" s="12">
        <v>0.5</v>
      </c>
      <c r="F29" s="12">
        <v>0.7</v>
      </c>
      <c r="G29" s="12">
        <v>0.9</v>
      </c>
      <c r="H29" s="12">
        <v>0.64600000000000002</v>
      </c>
      <c r="I29" s="12">
        <v>0.72599999999999998</v>
      </c>
      <c r="J29" s="12">
        <v>0.8</v>
      </c>
      <c r="K29" s="12">
        <v>0.8</v>
      </c>
      <c r="L29" s="12">
        <v>0.9</v>
      </c>
      <c r="M29" s="12">
        <v>0.93300000000000005</v>
      </c>
      <c r="N29" s="12">
        <v>0.57999999999999996</v>
      </c>
      <c r="O29" s="12">
        <v>0.77500000000000002</v>
      </c>
      <c r="P29" s="12">
        <v>0.90600000000000003</v>
      </c>
      <c r="Q29" s="12">
        <v>0.63</v>
      </c>
      <c r="R29" s="12">
        <v>0.80800000000000005</v>
      </c>
      <c r="S29" s="12">
        <v>0.9</v>
      </c>
    </row>
    <row r="30" spans="1:19" x14ac:dyDescent="0.25">
      <c r="A30" s="3">
        <v>2058</v>
      </c>
      <c r="B30" s="12">
        <v>0.30499999999999999</v>
      </c>
      <c r="C30" s="12">
        <v>0.56499999999999995</v>
      </c>
      <c r="D30" s="12">
        <v>0.8</v>
      </c>
      <c r="E30" s="12">
        <v>0.5</v>
      </c>
      <c r="F30" s="12">
        <v>0.7</v>
      </c>
      <c r="G30" s="12">
        <v>0.9</v>
      </c>
      <c r="H30" s="12">
        <v>0.64400000000000002</v>
      </c>
      <c r="I30" s="12">
        <v>0.72399999999999998</v>
      </c>
      <c r="J30" s="12">
        <v>0.8</v>
      </c>
      <c r="K30" s="12">
        <v>0.8</v>
      </c>
      <c r="L30" s="12">
        <v>0.9</v>
      </c>
      <c r="M30" s="12">
        <v>0.93300000000000005</v>
      </c>
      <c r="N30" s="12">
        <v>0.56999999999999995</v>
      </c>
      <c r="O30" s="12">
        <v>0.77</v>
      </c>
      <c r="P30" s="12">
        <v>0.90400000000000003</v>
      </c>
      <c r="Q30" s="12">
        <v>0.62</v>
      </c>
      <c r="R30" s="12">
        <v>0.80700000000000005</v>
      </c>
      <c r="S30" s="12">
        <v>0.9</v>
      </c>
    </row>
    <row r="31" spans="1:19" x14ac:dyDescent="0.25">
      <c r="A31" s="3">
        <v>2059</v>
      </c>
      <c r="B31" s="12">
        <v>0.30199999999999999</v>
      </c>
      <c r="C31" s="12">
        <v>0.56200000000000006</v>
      </c>
      <c r="D31" s="12">
        <v>0.8</v>
      </c>
      <c r="E31" s="12">
        <v>0.5</v>
      </c>
      <c r="F31" s="12">
        <v>0.7</v>
      </c>
      <c r="G31" s="12">
        <v>0.9</v>
      </c>
      <c r="H31" s="12">
        <v>0.64200000000000002</v>
      </c>
      <c r="I31" s="12">
        <v>0.72199999999999998</v>
      </c>
      <c r="J31" s="12">
        <v>0.8</v>
      </c>
      <c r="K31" s="12">
        <v>0.8</v>
      </c>
      <c r="L31" s="12">
        <v>0.9</v>
      </c>
      <c r="M31" s="12">
        <v>0.93300000000000005</v>
      </c>
      <c r="N31" s="12">
        <v>0.56000000000000005</v>
      </c>
      <c r="O31" s="12">
        <v>0.76500000000000001</v>
      </c>
      <c r="P31" s="12">
        <v>0.90200000000000002</v>
      </c>
      <c r="Q31" s="12">
        <v>0.61</v>
      </c>
      <c r="R31" s="12">
        <v>0.80600000000000005</v>
      </c>
      <c r="S31" s="12">
        <v>0.9</v>
      </c>
    </row>
    <row r="32" spans="1:19" x14ac:dyDescent="0.25">
      <c r="A32" s="3">
        <v>2060</v>
      </c>
      <c r="B32" s="12">
        <v>0.3</v>
      </c>
      <c r="C32" s="12">
        <v>0.56000000000000005</v>
      </c>
      <c r="D32" s="12">
        <v>0.8</v>
      </c>
      <c r="E32" s="12">
        <v>0.5</v>
      </c>
      <c r="F32" s="12">
        <v>0.7</v>
      </c>
      <c r="G32" s="12">
        <v>0.9</v>
      </c>
      <c r="H32" s="12">
        <v>0.64</v>
      </c>
      <c r="I32" s="12">
        <v>0.72</v>
      </c>
      <c r="J32" s="12">
        <v>0.8</v>
      </c>
      <c r="K32" s="12">
        <v>0.8</v>
      </c>
      <c r="L32" s="12">
        <v>0.9</v>
      </c>
      <c r="M32" s="12">
        <v>0.93200000000000005</v>
      </c>
      <c r="N32" s="12">
        <v>0.55000000000000004</v>
      </c>
      <c r="O32" s="12">
        <v>0.76</v>
      </c>
      <c r="P32" s="12">
        <v>0.9</v>
      </c>
      <c r="Q32" s="12">
        <v>0.6</v>
      </c>
      <c r="R32" s="12">
        <v>0.80500000000000005</v>
      </c>
      <c r="S32" s="12">
        <v>0.9</v>
      </c>
    </row>
    <row r="33" spans="1:19" x14ac:dyDescent="0.25">
      <c r="A33" s="3">
        <v>2061</v>
      </c>
      <c r="B33" s="12">
        <v>0.29799999999999999</v>
      </c>
      <c r="C33" s="12">
        <v>0.55800000000000005</v>
      </c>
      <c r="D33" s="12">
        <v>0.8</v>
      </c>
      <c r="E33" s="12">
        <v>0.5</v>
      </c>
      <c r="F33" s="12">
        <v>0.7</v>
      </c>
      <c r="G33" s="12">
        <v>0.9</v>
      </c>
      <c r="H33" s="12">
        <v>0.63500000000000001</v>
      </c>
      <c r="I33" s="12">
        <v>0.71799999999999997</v>
      </c>
      <c r="J33" s="12">
        <v>0.8</v>
      </c>
      <c r="K33" s="12">
        <v>0.8</v>
      </c>
      <c r="L33" s="12">
        <v>0.9</v>
      </c>
      <c r="M33" s="12">
        <v>0.93200000000000005</v>
      </c>
      <c r="N33" s="12">
        <v>0.54</v>
      </c>
      <c r="O33" s="12">
        <v>0.75800000000000001</v>
      </c>
      <c r="P33" s="12">
        <v>0.9</v>
      </c>
      <c r="Q33" s="12">
        <v>0.59</v>
      </c>
      <c r="R33" s="12">
        <v>0.80400000000000005</v>
      </c>
      <c r="S33" s="12">
        <v>0.9</v>
      </c>
    </row>
    <row r="34" spans="1:19" x14ac:dyDescent="0.25">
      <c r="A34" s="3">
        <v>2062</v>
      </c>
      <c r="B34" s="12">
        <v>0.29599999999999999</v>
      </c>
      <c r="C34" s="12">
        <v>0.55600000000000005</v>
      </c>
      <c r="D34" s="12">
        <v>0.8</v>
      </c>
      <c r="E34" s="12">
        <v>0.5</v>
      </c>
      <c r="F34" s="12">
        <v>0.7</v>
      </c>
      <c r="G34" s="12">
        <v>0.9</v>
      </c>
      <c r="H34" s="12">
        <v>0.63</v>
      </c>
      <c r="I34" s="12">
        <v>0.71599999999999997</v>
      </c>
      <c r="J34" s="12">
        <v>0.8</v>
      </c>
      <c r="K34" s="12">
        <v>0.8</v>
      </c>
      <c r="L34" s="12">
        <v>0.9</v>
      </c>
      <c r="M34" s="12">
        <v>0.93200000000000005</v>
      </c>
      <c r="N34" s="12">
        <v>0.53</v>
      </c>
      <c r="O34" s="12">
        <v>0.75600000000000001</v>
      </c>
      <c r="P34" s="12">
        <v>0.9</v>
      </c>
      <c r="Q34" s="12">
        <v>0.57999999999999996</v>
      </c>
      <c r="R34" s="12">
        <v>0.80349999999999999</v>
      </c>
      <c r="S34" s="12">
        <v>0.9</v>
      </c>
    </row>
    <row r="35" spans="1:19" x14ac:dyDescent="0.25">
      <c r="A35" s="3">
        <v>2063</v>
      </c>
      <c r="B35" s="12">
        <v>0.29399999999999998</v>
      </c>
      <c r="C35" s="12">
        <v>0.55400000000000005</v>
      </c>
      <c r="D35" s="12">
        <v>0.8</v>
      </c>
      <c r="E35" s="12">
        <v>0.5</v>
      </c>
      <c r="F35" s="12">
        <v>0.7</v>
      </c>
      <c r="G35" s="12">
        <v>0.9</v>
      </c>
      <c r="H35" s="12">
        <v>0.625</v>
      </c>
      <c r="I35" s="12">
        <v>0.71399999999999997</v>
      </c>
      <c r="J35" s="12">
        <v>0.8</v>
      </c>
      <c r="K35" s="12">
        <v>0.8</v>
      </c>
      <c r="L35" s="12">
        <v>0.9</v>
      </c>
      <c r="M35" s="12">
        <v>0.93200000000000005</v>
      </c>
      <c r="N35" s="12">
        <v>0.52</v>
      </c>
      <c r="O35" s="12">
        <v>0.754</v>
      </c>
      <c r="P35" s="12">
        <v>0.9</v>
      </c>
      <c r="Q35" s="12">
        <v>0.56999999999999995</v>
      </c>
      <c r="R35" s="12">
        <v>0.80300000000000005</v>
      </c>
      <c r="S35" s="12">
        <v>0.9</v>
      </c>
    </row>
    <row r="36" spans="1:19" x14ac:dyDescent="0.25">
      <c r="A36" s="3">
        <v>2064</v>
      </c>
      <c r="B36" s="12">
        <v>0.29199999999999998</v>
      </c>
      <c r="C36" s="12">
        <v>0.55200000000000005</v>
      </c>
      <c r="D36" s="12">
        <v>0.8</v>
      </c>
      <c r="E36" s="12">
        <v>0.5</v>
      </c>
      <c r="F36" s="12">
        <v>0.7</v>
      </c>
      <c r="G36" s="12">
        <v>0.9</v>
      </c>
      <c r="H36" s="12">
        <v>0.622</v>
      </c>
      <c r="I36" s="12">
        <v>0.71199999999999997</v>
      </c>
      <c r="J36" s="12">
        <v>0.8</v>
      </c>
      <c r="K36" s="12">
        <v>0.8</v>
      </c>
      <c r="L36" s="12">
        <v>0.9</v>
      </c>
      <c r="M36" s="12">
        <v>0.93200000000000005</v>
      </c>
      <c r="N36" s="12">
        <v>0.51</v>
      </c>
      <c r="O36" s="12">
        <v>0.752</v>
      </c>
      <c r="P36" s="12">
        <v>0.9</v>
      </c>
      <c r="Q36" s="12">
        <v>0.56000000000000005</v>
      </c>
      <c r="R36" s="12">
        <v>0.80249999999999999</v>
      </c>
      <c r="S36" s="12">
        <v>0.9</v>
      </c>
    </row>
    <row r="37" spans="1:19" x14ac:dyDescent="0.25">
      <c r="A37" s="3">
        <v>2065</v>
      </c>
      <c r="B37" s="12">
        <v>0.28999999999999998</v>
      </c>
      <c r="C37" s="12">
        <v>0.55000000000000004</v>
      </c>
      <c r="D37" s="12">
        <v>0.8</v>
      </c>
      <c r="E37" s="12">
        <v>0.5</v>
      </c>
      <c r="F37" s="12">
        <v>0.7</v>
      </c>
      <c r="G37" s="12">
        <v>0.9</v>
      </c>
      <c r="H37" s="12">
        <v>0.62</v>
      </c>
      <c r="I37" s="12">
        <v>0.71</v>
      </c>
      <c r="J37" s="12">
        <v>0.8</v>
      </c>
      <c r="K37" s="12">
        <v>0.8</v>
      </c>
      <c r="L37" s="12">
        <v>0.9</v>
      </c>
      <c r="M37" s="12">
        <v>0.93100000000000005</v>
      </c>
      <c r="N37" s="12">
        <v>0.5</v>
      </c>
      <c r="O37" s="12">
        <v>0.75</v>
      </c>
      <c r="P37" s="12">
        <v>0.9</v>
      </c>
      <c r="Q37" s="12">
        <v>0.55000000000000004</v>
      </c>
      <c r="R37" s="12">
        <v>0.80200000000000005</v>
      </c>
      <c r="S37" s="12">
        <v>0.9</v>
      </c>
    </row>
    <row r="38" spans="1:19" x14ac:dyDescent="0.25">
      <c r="A38" s="3">
        <v>2066</v>
      </c>
      <c r="B38" s="12">
        <v>0.28799999999999998</v>
      </c>
      <c r="C38" s="12">
        <v>0.55000000000000004</v>
      </c>
      <c r="D38" s="12">
        <v>0.8</v>
      </c>
      <c r="E38" s="12">
        <v>0.5</v>
      </c>
      <c r="F38" s="12">
        <v>0.7</v>
      </c>
      <c r="G38" s="12">
        <v>0.9</v>
      </c>
      <c r="H38" s="12">
        <v>0.61799999999999999</v>
      </c>
      <c r="I38" s="12">
        <v>0.71</v>
      </c>
      <c r="J38" s="12">
        <v>0.8</v>
      </c>
      <c r="K38" s="12">
        <v>0.8</v>
      </c>
      <c r="L38" s="12">
        <v>0.89800000000000002</v>
      </c>
      <c r="M38" s="12">
        <v>0.93100000000000005</v>
      </c>
      <c r="N38" s="12">
        <v>0.5</v>
      </c>
      <c r="O38" s="12">
        <v>0.75</v>
      </c>
      <c r="P38" s="12">
        <v>0.9</v>
      </c>
      <c r="Q38" s="12">
        <v>0.54</v>
      </c>
      <c r="R38" s="12">
        <v>0.80179999999999996</v>
      </c>
      <c r="S38" s="12">
        <v>0.9</v>
      </c>
    </row>
    <row r="39" spans="1:19" x14ac:dyDescent="0.25">
      <c r="A39" s="3">
        <v>2067</v>
      </c>
      <c r="B39" s="12">
        <v>0.28599999999999998</v>
      </c>
      <c r="C39" s="12">
        <v>0.55000000000000004</v>
      </c>
      <c r="D39" s="12">
        <v>0.8</v>
      </c>
      <c r="E39" s="12">
        <v>0.5</v>
      </c>
      <c r="F39" s="12">
        <v>0.7</v>
      </c>
      <c r="G39" s="12">
        <v>0.9</v>
      </c>
      <c r="H39" s="12">
        <v>0.61599999999999999</v>
      </c>
      <c r="I39" s="12">
        <v>0.71</v>
      </c>
      <c r="J39" s="12">
        <v>0.8</v>
      </c>
      <c r="K39" s="12">
        <v>0.8</v>
      </c>
      <c r="L39" s="12">
        <v>0.89600000000000002</v>
      </c>
      <c r="M39" s="12">
        <v>0.93100000000000005</v>
      </c>
      <c r="N39" s="12">
        <v>0.5</v>
      </c>
      <c r="O39" s="12">
        <v>0.75</v>
      </c>
      <c r="P39" s="12">
        <v>0.9</v>
      </c>
      <c r="Q39" s="12">
        <v>0.53</v>
      </c>
      <c r="R39" s="12">
        <v>0.80159999999999998</v>
      </c>
      <c r="S39" s="12">
        <v>0.9</v>
      </c>
    </row>
    <row r="40" spans="1:19" x14ac:dyDescent="0.25">
      <c r="A40" s="3">
        <v>2068</v>
      </c>
      <c r="B40" s="12">
        <v>0.28399999999999997</v>
      </c>
      <c r="C40" s="12">
        <v>0.55000000000000004</v>
      </c>
      <c r="D40" s="12">
        <v>0.8</v>
      </c>
      <c r="E40" s="12">
        <v>0.5</v>
      </c>
      <c r="F40" s="12">
        <v>0.7</v>
      </c>
      <c r="G40" s="12">
        <v>0.9</v>
      </c>
      <c r="H40" s="12">
        <v>0.61399999999999999</v>
      </c>
      <c r="I40" s="12">
        <v>0.71</v>
      </c>
      <c r="J40" s="12">
        <v>0.8</v>
      </c>
      <c r="K40" s="12">
        <v>0.8</v>
      </c>
      <c r="L40" s="12">
        <v>0.89400000000000002</v>
      </c>
      <c r="M40" s="12">
        <v>0.93100000000000005</v>
      </c>
      <c r="N40" s="12">
        <v>0.5</v>
      </c>
      <c r="O40" s="12">
        <v>0.75</v>
      </c>
      <c r="P40" s="12">
        <v>0.9</v>
      </c>
      <c r="Q40" s="12">
        <v>0.52</v>
      </c>
      <c r="R40" s="12">
        <v>0.8014</v>
      </c>
      <c r="S40" s="12">
        <v>0.9</v>
      </c>
    </row>
    <row r="41" spans="1:19" x14ac:dyDescent="0.25">
      <c r="A41" s="3">
        <v>2069</v>
      </c>
      <c r="B41" s="12">
        <v>0.28199999999999997</v>
      </c>
      <c r="C41" s="12">
        <v>0.55000000000000004</v>
      </c>
      <c r="D41" s="12">
        <v>0.8</v>
      </c>
      <c r="E41" s="12">
        <v>0.5</v>
      </c>
      <c r="F41" s="12">
        <v>0.7</v>
      </c>
      <c r="G41" s="12">
        <v>0.9</v>
      </c>
      <c r="H41" s="12">
        <v>0.61199999999999999</v>
      </c>
      <c r="I41" s="12">
        <v>0.71</v>
      </c>
      <c r="J41" s="12">
        <v>0.8</v>
      </c>
      <c r="K41" s="12">
        <v>0.8</v>
      </c>
      <c r="L41" s="12">
        <v>0.89200000000000002</v>
      </c>
      <c r="M41" s="12">
        <v>0.93100000000000005</v>
      </c>
      <c r="N41" s="12">
        <v>0.5</v>
      </c>
      <c r="O41" s="12">
        <v>0.75</v>
      </c>
      <c r="P41" s="12">
        <v>0.9</v>
      </c>
      <c r="Q41" s="12">
        <v>0.51</v>
      </c>
      <c r="R41" s="12">
        <v>0.80120000000000002</v>
      </c>
      <c r="S41" s="12">
        <v>0.9</v>
      </c>
    </row>
    <row r="42" spans="1:19" x14ac:dyDescent="0.25">
      <c r="A42" s="3">
        <v>2070</v>
      </c>
      <c r="B42" s="12">
        <v>0.28000000000000003</v>
      </c>
      <c r="C42" s="12">
        <v>0.55000000000000004</v>
      </c>
      <c r="D42" s="12">
        <v>0.8</v>
      </c>
      <c r="E42" s="12">
        <v>0.5</v>
      </c>
      <c r="F42" s="12">
        <v>0.7</v>
      </c>
      <c r="G42" s="12">
        <v>0.9</v>
      </c>
      <c r="H42" s="12">
        <v>0.61</v>
      </c>
      <c r="I42" s="12">
        <v>0.71</v>
      </c>
      <c r="J42" s="12">
        <v>0.8</v>
      </c>
      <c r="K42" s="12">
        <v>0.8</v>
      </c>
      <c r="L42" s="12">
        <v>0.89</v>
      </c>
      <c r="M42" s="12">
        <v>0.93</v>
      </c>
      <c r="N42" s="12">
        <v>0.5</v>
      </c>
      <c r="O42" s="12">
        <v>0.75</v>
      </c>
      <c r="P42" s="12">
        <v>0.9</v>
      </c>
      <c r="Q42" s="12">
        <v>0.5</v>
      </c>
      <c r="R42" s="12">
        <v>0.8</v>
      </c>
      <c r="S42" s="12">
        <v>0.9</v>
      </c>
    </row>
    <row r="43" spans="1:19" x14ac:dyDescent="0.25">
      <c r="A43" s="3">
        <v>2071</v>
      </c>
      <c r="B43" s="12">
        <v>0.28000000000000003</v>
      </c>
      <c r="C43" s="12">
        <v>0.55000000000000004</v>
      </c>
      <c r="D43" s="12">
        <v>0.8</v>
      </c>
      <c r="E43" s="12">
        <v>0.5</v>
      </c>
      <c r="F43" s="12">
        <v>0.7</v>
      </c>
      <c r="G43" s="12">
        <v>0.9</v>
      </c>
      <c r="H43" s="12">
        <v>0.60799999999999998</v>
      </c>
      <c r="I43" s="12">
        <v>0.70799999999999996</v>
      </c>
      <c r="J43" s="12">
        <v>0.8</v>
      </c>
      <c r="K43" s="12">
        <v>0.8</v>
      </c>
      <c r="L43" s="12">
        <v>0.89</v>
      </c>
      <c r="M43" s="12">
        <v>0.93</v>
      </c>
      <c r="N43" s="12">
        <v>0.5</v>
      </c>
      <c r="O43" s="12">
        <v>0.75</v>
      </c>
      <c r="P43" s="12">
        <v>0.9</v>
      </c>
      <c r="Q43" s="12">
        <v>0.5</v>
      </c>
      <c r="R43" s="12">
        <v>0.8</v>
      </c>
      <c r="S43" s="12">
        <v>0.9</v>
      </c>
    </row>
    <row r="44" spans="1:19" x14ac:dyDescent="0.25">
      <c r="A44" s="3">
        <v>2072</v>
      </c>
      <c r="B44" s="12">
        <v>0.28000000000000003</v>
      </c>
      <c r="C44" s="12">
        <v>0.55000000000000004</v>
      </c>
      <c r="D44" s="12">
        <v>0.8</v>
      </c>
      <c r="E44" s="12">
        <v>0.5</v>
      </c>
      <c r="F44" s="12">
        <v>0.7</v>
      </c>
      <c r="G44" s="12">
        <v>0.9</v>
      </c>
      <c r="H44" s="12">
        <v>0.60599999999999998</v>
      </c>
      <c r="I44" s="12">
        <v>0.70599999999999996</v>
      </c>
      <c r="J44" s="12">
        <v>0.8</v>
      </c>
      <c r="K44" s="12">
        <v>0.8</v>
      </c>
      <c r="L44" s="12">
        <v>0.89</v>
      </c>
      <c r="M44" s="12">
        <v>0.93</v>
      </c>
      <c r="N44" s="12">
        <v>0.5</v>
      </c>
      <c r="O44" s="12">
        <v>0.75</v>
      </c>
      <c r="P44" s="12">
        <v>0.9</v>
      </c>
      <c r="Q44" s="12">
        <v>0.5</v>
      </c>
      <c r="R44" s="12">
        <v>0.8</v>
      </c>
      <c r="S44" s="12">
        <v>0.9</v>
      </c>
    </row>
    <row r="45" spans="1:19" x14ac:dyDescent="0.25">
      <c r="A45" s="3">
        <v>2073</v>
      </c>
      <c r="B45" s="12">
        <v>0.28000000000000003</v>
      </c>
      <c r="C45" s="12">
        <v>0.55000000000000004</v>
      </c>
      <c r="D45" s="12">
        <v>0.8</v>
      </c>
      <c r="E45" s="12">
        <v>0.5</v>
      </c>
      <c r="F45" s="12">
        <v>0.7</v>
      </c>
      <c r="G45" s="12">
        <v>0.9</v>
      </c>
      <c r="H45" s="12">
        <v>0.60399999999999998</v>
      </c>
      <c r="I45" s="12">
        <v>0.70399999999999996</v>
      </c>
      <c r="J45" s="12">
        <v>0.8</v>
      </c>
      <c r="K45" s="12">
        <v>0.8</v>
      </c>
      <c r="L45" s="12">
        <v>0.89</v>
      </c>
      <c r="M45" s="12">
        <v>0.93</v>
      </c>
      <c r="N45" s="12">
        <v>0.5</v>
      </c>
      <c r="O45" s="12">
        <v>0.75</v>
      </c>
      <c r="P45" s="12">
        <v>0.9</v>
      </c>
      <c r="Q45" s="12">
        <v>0.5</v>
      </c>
      <c r="R45" s="12">
        <v>0.8</v>
      </c>
      <c r="S45" s="12">
        <v>0.9</v>
      </c>
    </row>
    <row r="46" spans="1:19" x14ac:dyDescent="0.25">
      <c r="A46" s="3">
        <v>2074</v>
      </c>
      <c r="B46" s="12">
        <v>0.28000000000000003</v>
      </c>
      <c r="C46" s="12">
        <v>0.55000000000000004</v>
      </c>
      <c r="D46" s="12">
        <v>0.8</v>
      </c>
      <c r="E46" s="12">
        <v>0.5</v>
      </c>
      <c r="F46" s="12">
        <v>0.7</v>
      </c>
      <c r="G46" s="12">
        <v>0.9</v>
      </c>
      <c r="H46" s="12">
        <v>0.60199999999999998</v>
      </c>
      <c r="I46" s="12">
        <v>0.70199999999999996</v>
      </c>
      <c r="J46" s="12">
        <v>0.8</v>
      </c>
      <c r="K46" s="12">
        <v>0.8</v>
      </c>
      <c r="L46" s="12">
        <v>0.89</v>
      </c>
      <c r="M46" s="12">
        <v>0.93</v>
      </c>
      <c r="N46" s="12">
        <v>0.5</v>
      </c>
      <c r="O46" s="12">
        <v>0.75</v>
      </c>
      <c r="P46" s="12">
        <v>0.9</v>
      </c>
      <c r="Q46" s="12">
        <v>0.5</v>
      </c>
      <c r="R46" s="12">
        <v>0.8</v>
      </c>
      <c r="S46" s="12">
        <v>0.9</v>
      </c>
    </row>
    <row r="47" spans="1:19" x14ac:dyDescent="0.25">
      <c r="A47" s="3">
        <v>2075</v>
      </c>
      <c r="B47" s="12">
        <v>0.28000000000000003</v>
      </c>
      <c r="C47" s="12">
        <v>0.55000000000000004</v>
      </c>
      <c r="D47" s="12">
        <v>0.8</v>
      </c>
      <c r="E47" s="12">
        <v>0.5</v>
      </c>
      <c r="F47" s="12">
        <v>0.7</v>
      </c>
      <c r="G47" s="12">
        <v>0.9</v>
      </c>
      <c r="H47" s="12">
        <v>0.6</v>
      </c>
      <c r="I47" s="12">
        <v>0.7</v>
      </c>
      <c r="J47" s="12">
        <v>0.8</v>
      </c>
      <c r="K47" s="12">
        <v>0.8</v>
      </c>
      <c r="L47" s="12">
        <v>0.89</v>
      </c>
      <c r="M47" s="12">
        <v>0.93</v>
      </c>
      <c r="N47" s="12">
        <v>0.5</v>
      </c>
      <c r="O47" s="12">
        <v>0.75</v>
      </c>
      <c r="P47" s="12">
        <v>0.9</v>
      </c>
      <c r="Q47" s="12">
        <v>0.5</v>
      </c>
      <c r="R47" s="12">
        <v>0.79900000000000004</v>
      </c>
      <c r="S47" s="12">
        <v>0.9</v>
      </c>
    </row>
    <row r="48" spans="1:19" x14ac:dyDescent="0.25">
      <c r="A48" s="3">
        <v>2076</v>
      </c>
      <c r="B48" s="12">
        <v>0.28000000000000003</v>
      </c>
      <c r="C48" s="12">
        <v>0.54800000000000004</v>
      </c>
      <c r="D48" s="12">
        <v>0.8</v>
      </c>
      <c r="E48" s="12">
        <v>0.5</v>
      </c>
      <c r="F48" s="12">
        <v>0.7</v>
      </c>
      <c r="G48" s="12">
        <v>0.9</v>
      </c>
      <c r="H48" s="12">
        <v>0.6</v>
      </c>
      <c r="I48" s="12">
        <v>0.7</v>
      </c>
      <c r="J48" s="12">
        <v>0.8</v>
      </c>
      <c r="K48" s="12">
        <v>0.8</v>
      </c>
      <c r="L48" s="12">
        <v>0.89</v>
      </c>
      <c r="M48" s="12">
        <v>0.93</v>
      </c>
      <c r="N48" s="12">
        <v>0.5</v>
      </c>
      <c r="O48" s="12">
        <v>0.748</v>
      </c>
      <c r="P48" s="12">
        <v>0.9</v>
      </c>
      <c r="Q48" s="12">
        <v>0.5</v>
      </c>
      <c r="R48" s="12">
        <v>0.79900000000000004</v>
      </c>
      <c r="S48" s="12">
        <v>0.9</v>
      </c>
    </row>
    <row r="49" spans="1:19" x14ac:dyDescent="0.25">
      <c r="A49" s="3">
        <v>2077</v>
      </c>
      <c r="B49" s="12">
        <v>0.28000000000000003</v>
      </c>
      <c r="C49" s="12">
        <v>0.54600000000000004</v>
      </c>
      <c r="D49" s="12">
        <v>0.8</v>
      </c>
      <c r="E49" s="12">
        <v>0.5</v>
      </c>
      <c r="F49" s="12">
        <v>0.7</v>
      </c>
      <c r="G49" s="12">
        <v>0.9</v>
      </c>
      <c r="H49" s="12">
        <v>0.6</v>
      </c>
      <c r="I49" s="12">
        <v>0.7</v>
      </c>
      <c r="J49" s="12">
        <v>0.8</v>
      </c>
      <c r="K49" s="12">
        <v>0.8</v>
      </c>
      <c r="L49" s="12">
        <v>0.89</v>
      </c>
      <c r="M49" s="12">
        <v>0.93</v>
      </c>
      <c r="N49" s="12">
        <v>0.5</v>
      </c>
      <c r="O49" s="12">
        <v>0.746</v>
      </c>
      <c r="P49" s="12">
        <v>0.9</v>
      </c>
      <c r="Q49" s="12">
        <v>0.5</v>
      </c>
      <c r="R49" s="12">
        <v>0.79900000000000004</v>
      </c>
      <c r="S49" s="12">
        <v>0.9</v>
      </c>
    </row>
    <row r="50" spans="1:19" x14ac:dyDescent="0.25">
      <c r="A50" s="3">
        <v>2078</v>
      </c>
      <c r="B50" s="12">
        <v>0.28000000000000003</v>
      </c>
      <c r="C50" s="12">
        <v>0.54400000000000004</v>
      </c>
      <c r="D50" s="12">
        <v>0.8</v>
      </c>
      <c r="E50" s="12">
        <v>0.5</v>
      </c>
      <c r="F50" s="12">
        <v>0.7</v>
      </c>
      <c r="G50" s="12">
        <v>0.9</v>
      </c>
      <c r="H50" s="12">
        <v>0.6</v>
      </c>
      <c r="I50" s="12">
        <v>0.7</v>
      </c>
      <c r="J50" s="12">
        <v>0.8</v>
      </c>
      <c r="K50" s="12">
        <v>0.8</v>
      </c>
      <c r="L50" s="12">
        <v>0.89</v>
      </c>
      <c r="M50" s="12">
        <v>0.93</v>
      </c>
      <c r="N50" s="12">
        <v>0.5</v>
      </c>
      <c r="O50" s="12">
        <v>0.74399999999999999</v>
      </c>
      <c r="P50" s="12">
        <v>0.9</v>
      </c>
      <c r="Q50" s="12">
        <v>0.5</v>
      </c>
      <c r="R50" s="12">
        <v>0.79900000000000004</v>
      </c>
      <c r="S50" s="12">
        <v>0.9</v>
      </c>
    </row>
    <row r="51" spans="1:19" x14ac:dyDescent="0.25">
      <c r="A51" s="3">
        <v>2079</v>
      </c>
      <c r="B51" s="12">
        <v>0.28000000000000003</v>
      </c>
      <c r="C51" s="12">
        <v>0.54200000000000004</v>
      </c>
      <c r="D51" s="12">
        <v>0.8</v>
      </c>
      <c r="E51" s="12">
        <v>0.5</v>
      </c>
      <c r="F51" s="12">
        <v>0.7</v>
      </c>
      <c r="G51" s="12">
        <v>0.9</v>
      </c>
      <c r="H51" s="12">
        <v>0.6</v>
      </c>
      <c r="I51" s="12">
        <v>0.7</v>
      </c>
      <c r="J51" s="12">
        <v>0.8</v>
      </c>
      <c r="K51" s="12">
        <v>0.8</v>
      </c>
      <c r="L51" s="12">
        <v>0.89</v>
      </c>
      <c r="M51" s="12">
        <v>0.93</v>
      </c>
      <c r="N51" s="12">
        <v>0.5</v>
      </c>
      <c r="O51" s="12">
        <v>0.74199999999999999</v>
      </c>
      <c r="P51" s="12">
        <v>0.9</v>
      </c>
      <c r="Q51" s="12">
        <v>0.5</v>
      </c>
      <c r="R51" s="12">
        <v>0.79900000000000004</v>
      </c>
      <c r="S51" s="12">
        <v>0.9</v>
      </c>
    </row>
    <row r="52" spans="1:19" x14ac:dyDescent="0.25">
      <c r="A52" s="3">
        <v>2080</v>
      </c>
      <c r="B52" s="12">
        <v>0.28000000000000003</v>
      </c>
      <c r="C52" s="12">
        <v>0.54</v>
      </c>
      <c r="D52" s="12">
        <v>0.8</v>
      </c>
      <c r="E52" s="12">
        <v>0.5</v>
      </c>
      <c r="F52" s="12">
        <v>0.7</v>
      </c>
      <c r="G52" s="12">
        <v>0.9</v>
      </c>
      <c r="H52" s="12">
        <v>0.6</v>
      </c>
      <c r="I52" s="12">
        <v>0.7</v>
      </c>
      <c r="J52" s="12">
        <v>0.8</v>
      </c>
      <c r="K52" s="12">
        <v>0.8</v>
      </c>
      <c r="L52" s="12">
        <v>0.89</v>
      </c>
      <c r="M52" s="12">
        <v>0.93</v>
      </c>
      <c r="N52" s="12">
        <v>0.5</v>
      </c>
      <c r="O52" s="12">
        <v>0.74</v>
      </c>
      <c r="P52" s="12">
        <v>0.9</v>
      </c>
      <c r="Q52" s="12">
        <v>0.5</v>
      </c>
      <c r="R52" s="12">
        <v>0.79900000000000004</v>
      </c>
      <c r="S52" s="12">
        <v>0.9</v>
      </c>
    </row>
    <row r="53" spans="1:19" x14ac:dyDescent="0.25">
      <c r="A53" s="3">
        <v>2081</v>
      </c>
      <c r="B53" s="12">
        <v>0.27800000000000002</v>
      </c>
      <c r="C53" s="12">
        <v>0.54</v>
      </c>
      <c r="D53" s="12">
        <v>0.8</v>
      </c>
      <c r="E53" s="12">
        <v>0.5</v>
      </c>
      <c r="F53" s="12">
        <v>0.7</v>
      </c>
      <c r="G53" s="12">
        <v>0.9</v>
      </c>
      <c r="H53" s="12">
        <v>0.6</v>
      </c>
      <c r="I53" s="12">
        <v>0.7</v>
      </c>
      <c r="J53" s="12">
        <v>0.8</v>
      </c>
      <c r="K53" s="12">
        <v>0.8</v>
      </c>
      <c r="L53" s="12">
        <v>0.89</v>
      </c>
      <c r="M53" s="12">
        <v>0.93</v>
      </c>
      <c r="N53" s="12">
        <v>0.5</v>
      </c>
      <c r="O53" s="12">
        <v>0.74</v>
      </c>
      <c r="P53" s="12">
        <v>0.9</v>
      </c>
      <c r="Q53" s="12">
        <v>0.5</v>
      </c>
      <c r="R53" s="12">
        <v>0.79900000000000004</v>
      </c>
      <c r="S53" s="12">
        <v>0.9</v>
      </c>
    </row>
    <row r="54" spans="1:19" x14ac:dyDescent="0.25">
      <c r="A54" s="3">
        <v>2082</v>
      </c>
      <c r="B54" s="12">
        <v>0.27600000000000002</v>
      </c>
      <c r="C54" s="12">
        <v>0.54</v>
      </c>
      <c r="D54" s="12">
        <v>0.8</v>
      </c>
      <c r="E54" s="12">
        <v>0.5</v>
      </c>
      <c r="F54" s="12">
        <v>0.7</v>
      </c>
      <c r="G54" s="12">
        <v>0.9</v>
      </c>
      <c r="H54" s="12">
        <v>0.6</v>
      </c>
      <c r="I54" s="12">
        <v>0.7</v>
      </c>
      <c r="J54" s="12">
        <v>0.8</v>
      </c>
      <c r="K54" s="12">
        <v>0.8</v>
      </c>
      <c r="L54" s="12">
        <v>0.89</v>
      </c>
      <c r="M54" s="12">
        <v>0.93</v>
      </c>
      <c r="N54" s="12">
        <v>0.5</v>
      </c>
      <c r="O54" s="12">
        <v>0.74</v>
      </c>
      <c r="P54" s="12">
        <v>0.9</v>
      </c>
      <c r="Q54" s="12">
        <v>0.5</v>
      </c>
      <c r="R54" s="12">
        <v>0.79900000000000004</v>
      </c>
      <c r="S54" s="12">
        <v>0.9</v>
      </c>
    </row>
    <row r="55" spans="1:19" x14ac:dyDescent="0.25">
      <c r="A55" s="3">
        <v>2083</v>
      </c>
      <c r="B55" s="12">
        <v>0.27400000000000002</v>
      </c>
      <c r="C55" s="12">
        <v>0.54</v>
      </c>
      <c r="D55" s="12">
        <v>0.8</v>
      </c>
      <c r="E55" s="12">
        <v>0.5</v>
      </c>
      <c r="F55" s="12">
        <v>0.7</v>
      </c>
      <c r="G55" s="12">
        <v>0.9</v>
      </c>
      <c r="H55" s="12">
        <v>0.6</v>
      </c>
      <c r="I55" s="12">
        <v>0.7</v>
      </c>
      <c r="J55" s="12">
        <v>0.8</v>
      </c>
      <c r="K55" s="12">
        <v>0.8</v>
      </c>
      <c r="L55" s="12">
        <v>0.89</v>
      </c>
      <c r="M55" s="12">
        <v>0.93</v>
      </c>
      <c r="N55" s="12">
        <v>0.5</v>
      </c>
      <c r="O55" s="12">
        <v>0.74</v>
      </c>
      <c r="P55" s="12">
        <v>0.9</v>
      </c>
      <c r="Q55" s="12">
        <v>0.5</v>
      </c>
      <c r="R55" s="12">
        <v>0.79900000000000004</v>
      </c>
      <c r="S55" s="12">
        <v>0.9</v>
      </c>
    </row>
    <row r="56" spans="1:19" x14ac:dyDescent="0.25">
      <c r="A56" s="3">
        <v>2084</v>
      </c>
      <c r="B56" s="12">
        <v>0.27200000000000002</v>
      </c>
      <c r="C56" s="12">
        <v>0.54</v>
      </c>
      <c r="D56" s="12">
        <v>0.8</v>
      </c>
      <c r="E56" s="12">
        <v>0.5</v>
      </c>
      <c r="F56" s="12">
        <v>0.7</v>
      </c>
      <c r="G56" s="12">
        <v>0.9</v>
      </c>
      <c r="H56" s="12">
        <v>0.6</v>
      </c>
      <c r="I56" s="12">
        <v>0.7</v>
      </c>
      <c r="J56" s="12">
        <v>0.8</v>
      </c>
      <c r="K56" s="12">
        <v>0.8</v>
      </c>
      <c r="L56" s="12">
        <v>0.89</v>
      </c>
      <c r="M56" s="12">
        <v>0.93</v>
      </c>
      <c r="N56" s="12">
        <v>0.5</v>
      </c>
      <c r="O56" s="12">
        <v>0.74</v>
      </c>
      <c r="P56" s="12">
        <v>0.9</v>
      </c>
      <c r="Q56" s="12">
        <v>0.5</v>
      </c>
      <c r="R56" s="12">
        <v>0.79900000000000004</v>
      </c>
      <c r="S56" s="12">
        <v>0.9</v>
      </c>
    </row>
    <row r="57" spans="1:19" x14ac:dyDescent="0.25">
      <c r="A57" s="3">
        <v>2085</v>
      </c>
      <c r="B57" s="12">
        <v>0.27</v>
      </c>
      <c r="C57" s="12">
        <v>0.54</v>
      </c>
      <c r="D57" s="12">
        <v>0.8</v>
      </c>
      <c r="E57" s="12">
        <v>0.5</v>
      </c>
      <c r="F57" s="12">
        <v>0.7</v>
      </c>
      <c r="G57" s="12">
        <v>0.9</v>
      </c>
      <c r="H57" s="12">
        <v>0.6</v>
      </c>
      <c r="I57" s="12">
        <v>0.7</v>
      </c>
      <c r="J57" s="12">
        <v>0.8</v>
      </c>
      <c r="K57" s="12">
        <v>0.8</v>
      </c>
      <c r="L57" s="12">
        <v>0.89</v>
      </c>
      <c r="M57" s="12">
        <v>0.93</v>
      </c>
      <c r="N57" s="12">
        <v>0.5</v>
      </c>
      <c r="O57" s="12">
        <v>0.74</v>
      </c>
      <c r="P57" s="12">
        <v>0.9</v>
      </c>
      <c r="Q57" s="12">
        <v>0.5</v>
      </c>
      <c r="R57" s="12">
        <v>0.79900000000000004</v>
      </c>
      <c r="S57" s="12">
        <v>0.9</v>
      </c>
    </row>
    <row r="58" spans="1:19" x14ac:dyDescent="0.25">
      <c r="A58" s="3">
        <v>2086</v>
      </c>
      <c r="B58" s="12">
        <v>0.27</v>
      </c>
      <c r="C58" s="12">
        <v>0.54</v>
      </c>
      <c r="D58" s="12">
        <v>0.8</v>
      </c>
      <c r="E58" s="12">
        <v>0.5</v>
      </c>
      <c r="F58" s="12">
        <v>0.7</v>
      </c>
      <c r="G58" s="12">
        <v>0.9</v>
      </c>
      <c r="H58" s="12">
        <v>0.59799999999999998</v>
      </c>
      <c r="I58" s="12">
        <v>0.7</v>
      </c>
      <c r="J58" s="12">
        <v>0.8</v>
      </c>
      <c r="K58" s="12">
        <v>0.8</v>
      </c>
      <c r="L58" s="12">
        <v>0.89</v>
      </c>
      <c r="M58" s="12">
        <v>0.93</v>
      </c>
      <c r="N58" s="12">
        <v>0.5</v>
      </c>
      <c r="O58" s="12">
        <v>0.74</v>
      </c>
      <c r="P58" s="12">
        <v>0.9</v>
      </c>
      <c r="Q58" s="12">
        <v>0.5</v>
      </c>
      <c r="R58" s="12">
        <v>0.79900000000000004</v>
      </c>
      <c r="S58" s="12">
        <v>0.9</v>
      </c>
    </row>
    <row r="59" spans="1:19" x14ac:dyDescent="0.25">
      <c r="A59" s="3">
        <v>2087</v>
      </c>
      <c r="B59" s="12">
        <v>0.27</v>
      </c>
      <c r="C59" s="12">
        <v>0.54</v>
      </c>
      <c r="D59" s="12">
        <v>0.8</v>
      </c>
      <c r="E59" s="12">
        <v>0.5</v>
      </c>
      <c r="F59" s="12">
        <v>0.7</v>
      </c>
      <c r="G59" s="12">
        <v>0.9</v>
      </c>
      <c r="H59" s="12">
        <v>0.59599999999999997</v>
      </c>
      <c r="I59" s="12">
        <v>0.7</v>
      </c>
      <c r="J59" s="12">
        <v>0.8</v>
      </c>
      <c r="K59" s="12">
        <v>0.8</v>
      </c>
      <c r="L59" s="12">
        <v>0.89</v>
      </c>
      <c r="M59" s="12">
        <v>0.93</v>
      </c>
      <c r="N59" s="12">
        <v>0.5</v>
      </c>
      <c r="O59" s="12">
        <v>0.74</v>
      </c>
      <c r="P59" s="12">
        <v>0.9</v>
      </c>
      <c r="Q59" s="12">
        <v>0.5</v>
      </c>
      <c r="R59" s="12">
        <v>0.79900000000000004</v>
      </c>
      <c r="S59" s="12">
        <v>0.9</v>
      </c>
    </row>
    <row r="60" spans="1:19" x14ac:dyDescent="0.25">
      <c r="A60" s="3">
        <v>2088</v>
      </c>
      <c r="B60" s="12">
        <v>0.27</v>
      </c>
      <c r="C60" s="12">
        <v>0.54</v>
      </c>
      <c r="D60" s="12">
        <v>0.8</v>
      </c>
      <c r="E60" s="12">
        <v>0.5</v>
      </c>
      <c r="F60" s="12">
        <v>0.7</v>
      </c>
      <c r="G60" s="12">
        <v>0.9</v>
      </c>
      <c r="H60" s="12">
        <v>0.59399999999999997</v>
      </c>
      <c r="I60" s="12">
        <v>0.7</v>
      </c>
      <c r="J60" s="12">
        <v>0.8</v>
      </c>
      <c r="K60" s="12">
        <v>0.8</v>
      </c>
      <c r="L60" s="12">
        <v>0.89</v>
      </c>
      <c r="M60" s="12">
        <v>0.93</v>
      </c>
      <c r="N60" s="12">
        <v>0.5</v>
      </c>
      <c r="O60" s="12">
        <v>0.74</v>
      </c>
      <c r="P60" s="12">
        <v>0.9</v>
      </c>
      <c r="Q60" s="12">
        <v>0.5</v>
      </c>
      <c r="R60" s="12">
        <v>0.79900000000000004</v>
      </c>
      <c r="S60" s="12">
        <v>0.9</v>
      </c>
    </row>
    <row r="61" spans="1:19" x14ac:dyDescent="0.25">
      <c r="A61" s="3">
        <v>2089</v>
      </c>
      <c r="B61" s="12">
        <v>0.27</v>
      </c>
      <c r="C61" s="12">
        <v>0.54</v>
      </c>
      <c r="D61" s="12">
        <v>0.8</v>
      </c>
      <c r="E61" s="12">
        <v>0.5</v>
      </c>
      <c r="F61" s="12">
        <v>0.7</v>
      </c>
      <c r="G61" s="12">
        <v>0.9</v>
      </c>
      <c r="H61" s="12">
        <v>0.59199999999999997</v>
      </c>
      <c r="I61" s="12">
        <v>0.7</v>
      </c>
      <c r="J61" s="12">
        <v>0.8</v>
      </c>
      <c r="K61" s="12">
        <v>0.8</v>
      </c>
      <c r="L61" s="12">
        <v>0.89</v>
      </c>
      <c r="M61" s="12">
        <v>0.93</v>
      </c>
      <c r="N61" s="12">
        <v>0.5</v>
      </c>
      <c r="O61" s="12">
        <v>0.74</v>
      </c>
      <c r="P61" s="12">
        <v>0.9</v>
      </c>
      <c r="Q61" s="12">
        <v>0.5</v>
      </c>
      <c r="R61" s="12">
        <v>0.79900000000000004</v>
      </c>
      <c r="S61" s="12">
        <v>0.9</v>
      </c>
    </row>
    <row r="62" spans="1:19" x14ac:dyDescent="0.25">
      <c r="A62" s="3">
        <v>2090</v>
      </c>
      <c r="B62" s="12">
        <v>0.27</v>
      </c>
      <c r="C62" s="12">
        <v>0.54</v>
      </c>
      <c r="D62" s="12">
        <v>0.8</v>
      </c>
      <c r="E62" s="12">
        <v>0.5</v>
      </c>
      <c r="F62" s="12">
        <v>0.7</v>
      </c>
      <c r="G62" s="12">
        <v>0.9</v>
      </c>
      <c r="H62" s="12">
        <v>0.59</v>
      </c>
      <c r="I62" s="12">
        <v>0.7</v>
      </c>
      <c r="J62" s="12">
        <v>0.8</v>
      </c>
      <c r="K62" s="12">
        <v>0.8</v>
      </c>
      <c r="L62" s="12">
        <v>0.89</v>
      </c>
      <c r="M62" s="12">
        <v>0.93</v>
      </c>
      <c r="N62" s="12">
        <v>0.5</v>
      </c>
      <c r="O62" s="12">
        <v>0.74</v>
      </c>
      <c r="P62" s="12">
        <v>0.9</v>
      </c>
      <c r="Q62" s="12">
        <v>0.5</v>
      </c>
      <c r="R62" s="12">
        <v>0.79900000000000004</v>
      </c>
      <c r="S62" s="12">
        <v>0.9</v>
      </c>
    </row>
    <row r="63" spans="1:19" x14ac:dyDescent="0.25">
      <c r="A63" s="3">
        <v>2091</v>
      </c>
      <c r="B63" s="12">
        <v>0.27</v>
      </c>
      <c r="C63" s="12">
        <v>0.54</v>
      </c>
      <c r="D63" s="12">
        <v>0.8</v>
      </c>
      <c r="E63" s="12">
        <v>0.5</v>
      </c>
      <c r="F63" s="12">
        <v>0.7</v>
      </c>
      <c r="G63" s="12">
        <v>0.9</v>
      </c>
      <c r="H63" s="12">
        <v>0.59</v>
      </c>
      <c r="I63" s="12">
        <v>0.7</v>
      </c>
      <c r="J63" s="12">
        <v>0.8</v>
      </c>
      <c r="K63" s="12">
        <v>0.8</v>
      </c>
      <c r="L63" s="12">
        <v>0.89</v>
      </c>
      <c r="M63" s="12">
        <v>0.93</v>
      </c>
      <c r="N63" s="12">
        <v>0.5</v>
      </c>
      <c r="O63" s="12">
        <v>0.73799999999999999</v>
      </c>
      <c r="P63" s="12">
        <v>0.9</v>
      </c>
      <c r="Q63" s="12">
        <v>0.5</v>
      </c>
      <c r="R63" s="12">
        <v>0.79900000000000004</v>
      </c>
      <c r="S63" s="12">
        <v>0.9</v>
      </c>
    </row>
    <row r="64" spans="1:19" x14ac:dyDescent="0.25">
      <c r="A64" s="3">
        <v>2092</v>
      </c>
      <c r="B64" s="12">
        <v>0.27</v>
      </c>
      <c r="C64" s="12">
        <v>0.54</v>
      </c>
      <c r="D64" s="12">
        <v>0.8</v>
      </c>
      <c r="E64" s="12">
        <v>0.5</v>
      </c>
      <c r="F64" s="12">
        <v>0.7</v>
      </c>
      <c r="G64" s="12">
        <v>0.9</v>
      </c>
      <c r="H64" s="12">
        <v>0.59</v>
      </c>
      <c r="I64" s="12">
        <v>0.7</v>
      </c>
      <c r="J64" s="12">
        <v>0.8</v>
      </c>
      <c r="K64" s="12">
        <v>0.8</v>
      </c>
      <c r="L64" s="12">
        <v>0.89</v>
      </c>
      <c r="M64" s="12">
        <v>0.93</v>
      </c>
      <c r="N64" s="12">
        <v>0.5</v>
      </c>
      <c r="O64" s="12">
        <v>0.73599999999999999</v>
      </c>
      <c r="P64" s="12">
        <v>0.9</v>
      </c>
      <c r="Q64" s="12">
        <v>0.5</v>
      </c>
      <c r="R64" s="12">
        <v>0.79900000000000004</v>
      </c>
      <c r="S64" s="12">
        <v>0.9</v>
      </c>
    </row>
    <row r="65" spans="1:19" x14ac:dyDescent="0.25">
      <c r="A65" s="3">
        <v>2093</v>
      </c>
      <c r="B65" s="12">
        <v>0.27</v>
      </c>
      <c r="C65" s="12">
        <v>0.54</v>
      </c>
      <c r="D65" s="12">
        <v>0.8</v>
      </c>
      <c r="E65" s="12">
        <v>0.5</v>
      </c>
      <c r="F65" s="12">
        <v>0.7</v>
      </c>
      <c r="G65" s="12">
        <v>0.9</v>
      </c>
      <c r="H65" s="12">
        <v>0.59</v>
      </c>
      <c r="I65" s="12">
        <v>0.7</v>
      </c>
      <c r="J65" s="12">
        <v>0.8</v>
      </c>
      <c r="K65" s="12">
        <v>0.8</v>
      </c>
      <c r="L65" s="12">
        <v>0.89</v>
      </c>
      <c r="M65" s="12">
        <v>0.93</v>
      </c>
      <c r="N65" s="12">
        <v>0.5</v>
      </c>
      <c r="O65" s="12">
        <v>0.73399999999999999</v>
      </c>
      <c r="P65" s="12">
        <v>0.9</v>
      </c>
      <c r="Q65" s="12">
        <v>0.5</v>
      </c>
      <c r="R65" s="12">
        <v>0.79900000000000004</v>
      </c>
      <c r="S65" s="12">
        <v>0.9</v>
      </c>
    </row>
    <row r="66" spans="1:19" x14ac:dyDescent="0.25">
      <c r="A66" s="3">
        <v>2094</v>
      </c>
      <c r="B66" s="12">
        <v>0.27</v>
      </c>
      <c r="C66" s="12">
        <v>0.54</v>
      </c>
      <c r="D66" s="12">
        <v>0.8</v>
      </c>
      <c r="E66" s="12">
        <v>0.5</v>
      </c>
      <c r="F66" s="12">
        <v>0.7</v>
      </c>
      <c r="G66" s="12">
        <v>0.9</v>
      </c>
      <c r="H66" s="12">
        <v>0.59</v>
      </c>
      <c r="I66" s="12">
        <v>0.7</v>
      </c>
      <c r="J66" s="12">
        <v>0.8</v>
      </c>
      <c r="K66" s="12">
        <v>0.8</v>
      </c>
      <c r="L66" s="12">
        <v>0.89</v>
      </c>
      <c r="M66" s="12">
        <v>0.93</v>
      </c>
      <c r="N66" s="12">
        <v>0.5</v>
      </c>
      <c r="O66" s="12">
        <v>0.73199999999999998</v>
      </c>
      <c r="P66" s="12">
        <v>0.9</v>
      </c>
      <c r="Q66" s="12">
        <v>0.5</v>
      </c>
      <c r="R66" s="12">
        <v>0.79900000000000004</v>
      </c>
      <c r="S66" s="12">
        <v>0.9</v>
      </c>
    </row>
    <row r="67" spans="1:19" x14ac:dyDescent="0.25">
      <c r="A67" s="3">
        <v>2095</v>
      </c>
      <c r="B67" s="12">
        <v>0.27</v>
      </c>
      <c r="C67" s="12">
        <v>0.54</v>
      </c>
      <c r="D67" s="12">
        <v>0.8</v>
      </c>
      <c r="E67" s="12">
        <v>0.5</v>
      </c>
      <c r="F67" s="12">
        <v>0.7</v>
      </c>
      <c r="G67" s="12">
        <v>0.9</v>
      </c>
      <c r="H67" s="12">
        <v>0.59</v>
      </c>
      <c r="I67" s="12">
        <v>0.7</v>
      </c>
      <c r="J67" s="12">
        <v>0.8</v>
      </c>
      <c r="K67" s="12">
        <v>0.8</v>
      </c>
      <c r="L67" s="12">
        <v>0.89</v>
      </c>
      <c r="M67" s="12">
        <v>0.93</v>
      </c>
      <c r="N67" s="12">
        <v>0.5</v>
      </c>
      <c r="O67" s="12">
        <v>0.73</v>
      </c>
      <c r="P67" s="12">
        <v>0.9</v>
      </c>
      <c r="Q67" s="12">
        <v>0.5</v>
      </c>
      <c r="R67" s="12">
        <v>0.79900000000000004</v>
      </c>
      <c r="S67" s="12">
        <v>0.9</v>
      </c>
    </row>
    <row r="68" spans="1:19" x14ac:dyDescent="0.25">
      <c r="A68" s="3">
        <v>2096</v>
      </c>
      <c r="B68" s="12">
        <v>0.27</v>
      </c>
      <c r="C68" s="12">
        <v>0.54</v>
      </c>
      <c r="D68" s="12">
        <v>0.8</v>
      </c>
      <c r="E68" s="12">
        <v>0.5</v>
      </c>
      <c r="F68" s="12">
        <v>0.7</v>
      </c>
      <c r="G68" s="12">
        <v>0.9</v>
      </c>
      <c r="H68" s="12">
        <v>0.59</v>
      </c>
      <c r="I68" s="12">
        <v>0.7</v>
      </c>
      <c r="J68" s="12">
        <v>0.8</v>
      </c>
      <c r="K68" s="12">
        <v>0.8</v>
      </c>
      <c r="L68" s="12">
        <v>0.89</v>
      </c>
      <c r="M68" s="12">
        <v>0.93</v>
      </c>
      <c r="N68" s="12">
        <v>0.5</v>
      </c>
      <c r="O68" s="12">
        <v>0.73</v>
      </c>
      <c r="P68" s="12">
        <v>0.9</v>
      </c>
      <c r="Q68" s="12">
        <v>0.5</v>
      </c>
      <c r="R68" s="12">
        <v>0.79900000000000004</v>
      </c>
      <c r="S68" s="12">
        <v>0.9</v>
      </c>
    </row>
    <row r="69" spans="1:19" x14ac:dyDescent="0.25">
      <c r="A69" s="3">
        <v>2097</v>
      </c>
      <c r="B69" s="12">
        <v>0.27</v>
      </c>
      <c r="C69" s="12">
        <v>0.54</v>
      </c>
      <c r="D69" s="12">
        <v>0.8</v>
      </c>
      <c r="E69" s="12">
        <v>0.5</v>
      </c>
      <c r="F69" s="12">
        <v>0.7</v>
      </c>
      <c r="G69" s="12">
        <v>0.9</v>
      </c>
      <c r="H69" s="12">
        <v>0.59</v>
      </c>
      <c r="I69" s="12">
        <v>0.7</v>
      </c>
      <c r="J69" s="12">
        <v>0.8</v>
      </c>
      <c r="K69" s="12">
        <v>0.8</v>
      </c>
      <c r="L69" s="12">
        <v>0.89</v>
      </c>
      <c r="M69" s="12">
        <v>0.93</v>
      </c>
      <c r="N69" s="12">
        <v>0.5</v>
      </c>
      <c r="O69" s="12">
        <v>0.73</v>
      </c>
      <c r="P69" s="12">
        <v>0.9</v>
      </c>
      <c r="Q69" s="12">
        <v>0.5</v>
      </c>
      <c r="R69" s="12">
        <v>0.79900000000000004</v>
      </c>
      <c r="S69" s="12">
        <v>0.9</v>
      </c>
    </row>
    <row r="70" spans="1:19" x14ac:dyDescent="0.25">
      <c r="A70" s="3">
        <v>2098</v>
      </c>
      <c r="B70" s="12">
        <v>0.27</v>
      </c>
      <c r="C70" s="12">
        <v>0.54</v>
      </c>
      <c r="D70" s="12">
        <v>0.8</v>
      </c>
      <c r="E70" s="12">
        <v>0.5</v>
      </c>
      <c r="F70" s="12">
        <v>0.7</v>
      </c>
      <c r="G70" s="12">
        <v>0.9</v>
      </c>
      <c r="H70" s="12">
        <v>0.59</v>
      </c>
      <c r="I70" s="12">
        <v>0.7</v>
      </c>
      <c r="J70" s="12">
        <v>0.8</v>
      </c>
      <c r="K70" s="12">
        <v>0.8</v>
      </c>
      <c r="L70" s="12">
        <v>0.89</v>
      </c>
      <c r="M70" s="12">
        <v>0.93</v>
      </c>
      <c r="N70" s="12">
        <v>0.5</v>
      </c>
      <c r="O70" s="12">
        <v>0.73</v>
      </c>
      <c r="P70" s="12">
        <v>0.9</v>
      </c>
      <c r="Q70" s="12">
        <v>0.5</v>
      </c>
      <c r="R70" s="12">
        <v>0.79900000000000004</v>
      </c>
      <c r="S70" s="12">
        <v>0.9</v>
      </c>
    </row>
    <row r="71" spans="1:19" x14ac:dyDescent="0.25">
      <c r="A71" s="3">
        <v>2099</v>
      </c>
      <c r="B71" s="12">
        <v>0.27</v>
      </c>
      <c r="C71" s="12">
        <v>0.54</v>
      </c>
      <c r="D71" s="12">
        <v>0.8</v>
      </c>
      <c r="E71" s="12">
        <v>0.5</v>
      </c>
      <c r="F71" s="12">
        <v>0.7</v>
      </c>
      <c r="G71" s="12">
        <v>0.9</v>
      </c>
      <c r="H71" s="12">
        <v>0.59</v>
      </c>
      <c r="I71" s="12">
        <v>0.7</v>
      </c>
      <c r="J71" s="12">
        <v>0.8</v>
      </c>
      <c r="K71" s="12">
        <v>0.8</v>
      </c>
      <c r="L71" s="12">
        <v>0.89</v>
      </c>
      <c r="M71" s="12">
        <v>0.93</v>
      </c>
      <c r="N71" s="12">
        <v>0.5</v>
      </c>
      <c r="O71" s="12">
        <v>0.73</v>
      </c>
      <c r="P71" s="12">
        <v>0.9</v>
      </c>
      <c r="Q71" s="12">
        <v>0.5</v>
      </c>
      <c r="R71" s="12">
        <v>0.79900000000000004</v>
      </c>
      <c r="S71" s="12">
        <v>0.9</v>
      </c>
    </row>
    <row r="72" spans="1:19" x14ac:dyDescent="0.25">
      <c r="A72" s="3">
        <v>2100</v>
      </c>
      <c r="B72" s="12">
        <v>0.27</v>
      </c>
      <c r="C72" s="12">
        <v>0.54</v>
      </c>
      <c r="D72" s="12">
        <v>0.8</v>
      </c>
      <c r="E72" s="12">
        <v>0.5</v>
      </c>
      <c r="F72" s="12">
        <v>0.7</v>
      </c>
      <c r="G72" s="12">
        <v>0.9</v>
      </c>
      <c r="H72" s="12">
        <v>0.59</v>
      </c>
      <c r="I72" s="12">
        <v>0.7</v>
      </c>
      <c r="J72" s="12">
        <v>0.8</v>
      </c>
      <c r="K72" s="12">
        <v>0.8</v>
      </c>
      <c r="L72" s="12">
        <v>0.89</v>
      </c>
      <c r="M72" s="12">
        <v>0.93</v>
      </c>
      <c r="N72" s="12">
        <v>0.5</v>
      </c>
      <c r="O72" s="12">
        <v>0.73</v>
      </c>
      <c r="P72" s="12">
        <v>0.9</v>
      </c>
      <c r="Q72" s="12">
        <v>0.5</v>
      </c>
      <c r="R72" s="12">
        <v>0.79900000000000004</v>
      </c>
      <c r="S72" s="12">
        <v>0.9</v>
      </c>
    </row>
    <row r="73" spans="1:19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1:19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x14ac:dyDescent="0.25">
      <c r="A77" s="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475F-BADE-4634-8213-218BD99E7011}">
  <dimension ref="A1:S77"/>
  <sheetViews>
    <sheetView zoomScaleNormal="100" workbookViewId="0">
      <pane xSplit="1" topLeftCell="B1" activePane="topRight" state="frozen"/>
      <selection pane="topRight" activeCell="D21" sqref="D21"/>
    </sheetView>
  </sheetViews>
  <sheetFormatPr defaultRowHeight="15" x14ac:dyDescent="0.25"/>
  <cols>
    <col min="2" max="2" width="11.28515625" customWidth="1"/>
    <col min="3" max="3" width="12.28515625" customWidth="1"/>
    <col min="4" max="4" width="12.140625" customWidth="1"/>
    <col min="5" max="5" width="10.42578125" customWidth="1"/>
    <col min="6" max="6" width="12.85546875" customWidth="1"/>
    <col min="7" max="7" width="9.5703125" customWidth="1"/>
    <col min="8" max="8" width="12.28515625" customWidth="1"/>
    <col min="9" max="9" width="12.5703125" customWidth="1"/>
    <col min="10" max="10" width="12" customWidth="1"/>
    <col min="11" max="11" width="10.42578125" customWidth="1"/>
    <col min="12" max="12" width="11.7109375" customWidth="1"/>
    <col min="13" max="13" width="10.28515625" customWidth="1"/>
    <col min="14" max="14" width="10.5703125" customWidth="1"/>
    <col min="15" max="15" width="11.42578125" customWidth="1"/>
    <col min="16" max="16" width="10.140625" customWidth="1"/>
    <col min="17" max="17" width="10.28515625" customWidth="1"/>
    <col min="18" max="18" width="11.140625" customWidth="1"/>
    <col min="19" max="19" width="11.85546875" customWidth="1"/>
  </cols>
  <sheetData>
    <row r="1" spans="1:19" ht="30" x14ac:dyDescent="0.25">
      <c r="A1" s="6" t="s">
        <v>0</v>
      </c>
      <c r="B1" s="17" t="s">
        <v>19</v>
      </c>
      <c r="C1" s="17" t="s">
        <v>20</v>
      </c>
      <c r="D1" s="17" t="s">
        <v>21</v>
      </c>
      <c r="E1" s="17" t="s">
        <v>1</v>
      </c>
      <c r="F1" s="17" t="s">
        <v>2</v>
      </c>
      <c r="G1" s="17" t="s">
        <v>3</v>
      </c>
      <c r="H1" s="17" t="s">
        <v>4</v>
      </c>
      <c r="I1" s="17" t="s">
        <v>5</v>
      </c>
      <c r="J1" s="17" t="s">
        <v>6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</row>
    <row r="2" spans="1:19" x14ac:dyDescent="0.25">
      <c r="A2" s="3">
        <v>2030</v>
      </c>
      <c r="B2" s="12">
        <f>Rates!B2/Rates!B$22</f>
        <v>2.4691358024691357</v>
      </c>
      <c r="C2" s="12">
        <f>Rates!C2/Rates!C$22</f>
        <v>1.6666666666666665</v>
      </c>
      <c r="D2" s="12">
        <f>Rates!D2/Rates!D$22</f>
        <v>1.25</v>
      </c>
      <c r="E2" s="12">
        <f>Rates!E2/Rates!E$22</f>
        <v>1.6666666666666667</v>
      </c>
      <c r="F2" s="12">
        <f>Rates!F2/Rates!F$22</f>
        <v>1.3157894736842108</v>
      </c>
      <c r="G2" s="12">
        <f>Rates!G2/Rates!G$22</f>
        <v>1.0869565217391306</v>
      </c>
      <c r="H2" s="12">
        <f>Rates!H2/Rates!H$22</f>
        <v>1.3513513513513513</v>
      </c>
      <c r="I2" s="12">
        <f>Rates!I2/Rates!I$22</f>
        <v>1.255153119551855</v>
      </c>
      <c r="J2" s="12">
        <f>Rates!J2/Rates!J$22</f>
        <v>1.1764705882352942</v>
      </c>
      <c r="K2" s="12">
        <f>Rates!K2/Rates!K$22</f>
        <v>1.25</v>
      </c>
      <c r="L2" s="12">
        <f>Rates!L2/Rates!L$22</f>
        <v>1.0582010582010584</v>
      </c>
      <c r="M2" s="12">
        <f>Rates!M2/Rates!M$22</f>
        <v>1.0695187165775399</v>
      </c>
      <c r="N2" s="12">
        <f>Rates!N2/Rates!N$22</f>
        <v>1.5384615384615383</v>
      </c>
      <c r="O2" s="12">
        <f>Rates!O2/Rates!O$22</f>
        <v>1.2048192771084338</v>
      </c>
      <c r="P2" s="12">
        <f>Rates!P2/Rates!P$22</f>
        <v>1.0695187165775399</v>
      </c>
      <c r="Q2" s="12">
        <f>Rates!Q2</f>
        <v>1</v>
      </c>
      <c r="R2" s="12">
        <f>Rates!R2</f>
        <v>1</v>
      </c>
      <c r="S2" s="12">
        <f>Rates!S2</f>
        <v>1</v>
      </c>
    </row>
    <row r="3" spans="1:19" x14ac:dyDescent="0.25">
      <c r="A3" s="3">
        <v>2031</v>
      </c>
      <c r="B3" s="12">
        <f>Rates!B3/Rates!B$22</f>
        <v>2.3703703703703702</v>
      </c>
      <c r="C3" s="12">
        <f>Rates!C3/Rates!C$22</f>
        <v>1.583333333333333</v>
      </c>
      <c r="D3" s="12">
        <f>Rates!D3/Rates!D$22</f>
        <v>1.1874999999999998</v>
      </c>
      <c r="E3" s="12">
        <f>Rates!E3/Rates!E$22</f>
        <v>1.6333333333333333</v>
      </c>
      <c r="F3" s="12">
        <f>Rates!F3/Rates!F$22</f>
        <v>1.3000000000000003</v>
      </c>
      <c r="G3" s="12">
        <f>Rates!G3/Rates!G$22</f>
        <v>1.0826086956521741</v>
      </c>
      <c r="H3" s="12">
        <f>Rates!H3/Rates!H$22</f>
        <v>1.3378378378378379</v>
      </c>
      <c r="I3" s="12">
        <f>Rates!I3/Rates!I$22</f>
        <v>1.2426015883563366</v>
      </c>
      <c r="J3" s="12">
        <f>Rates!J3/Rates!J$22</f>
        <v>1.1741176470588235</v>
      </c>
      <c r="K3" s="12">
        <f>Rates!K3/Rates!K$22</f>
        <v>1.2374999999999998</v>
      </c>
      <c r="L3" s="12">
        <f>Rates!L3/Rates!L$22</f>
        <v>1.0571428571428572</v>
      </c>
      <c r="M3" s="12">
        <f>Rates!M3/Rates!M$22</f>
        <v>1.0641711229946524</v>
      </c>
      <c r="N3" s="12">
        <f>Rates!N3/Rates!N$22</f>
        <v>1.5076923076923077</v>
      </c>
      <c r="O3" s="12">
        <f>Rates!O3/Rates!O$22</f>
        <v>1.1927710843373494</v>
      </c>
      <c r="P3" s="12">
        <f>Rates!P3/Rates!P$22</f>
        <v>1.067379679144385</v>
      </c>
      <c r="Q3" s="12">
        <f>Rates!Q3</f>
        <v>0.98</v>
      </c>
      <c r="R3" s="12">
        <f>Rates!R3</f>
        <v>0.98</v>
      </c>
      <c r="S3" s="12">
        <f>Rates!S3</f>
        <v>0.99</v>
      </c>
    </row>
    <row r="4" spans="1:19" x14ac:dyDescent="0.25">
      <c r="A4" s="3">
        <v>2032</v>
      </c>
      <c r="B4" s="12">
        <f>Rates!B4/Rates!B$22</f>
        <v>2.2567901234567902</v>
      </c>
      <c r="C4" s="12">
        <f>Rates!C4/Rates!C$22</f>
        <v>1.5333333333333332</v>
      </c>
      <c r="D4" s="12">
        <f>Rates!D4/Rates!D$22</f>
        <v>1.1499999999999999</v>
      </c>
      <c r="E4" s="12">
        <f>Rates!E4/Rates!E$22</f>
        <v>1.6</v>
      </c>
      <c r="F4" s="12">
        <f>Rates!F4/Rates!F$22</f>
        <v>1.2842105263157899</v>
      </c>
      <c r="G4" s="12">
        <f>Rates!G4/Rates!G$22</f>
        <v>1.0782608695652174</v>
      </c>
      <c r="H4" s="12">
        <f>Rates!H4/Rates!H$22</f>
        <v>1.3243243243243243</v>
      </c>
      <c r="I4" s="12">
        <f>Rates!I4/Rates!I$22</f>
        <v>1.2426015883563366</v>
      </c>
      <c r="J4" s="12">
        <f>Rates!J4/Rates!J$22</f>
        <v>1.171764705882353</v>
      </c>
      <c r="K4" s="12">
        <f>Rates!K4/Rates!K$22</f>
        <v>1.2249999999999999</v>
      </c>
      <c r="L4" s="12">
        <f>Rates!L4/Rates!L$22</f>
        <v>1.0560846560846562</v>
      </c>
      <c r="M4" s="12">
        <f>Rates!M4/Rates!M$22</f>
        <v>1.0588235294117647</v>
      </c>
      <c r="N4" s="12">
        <f>Rates!N4/Rates!N$22</f>
        <v>1.4769230769230768</v>
      </c>
      <c r="O4" s="12">
        <f>Rates!O4/Rates!O$22</f>
        <v>1.1807228915662651</v>
      </c>
      <c r="P4" s="12">
        <f>Rates!P4/Rates!P$22</f>
        <v>1.0652406417112299</v>
      </c>
      <c r="Q4" s="12">
        <f>Rates!Q4</f>
        <v>0.96</v>
      </c>
      <c r="R4" s="12">
        <f>Rates!R4</f>
        <v>0.96</v>
      </c>
      <c r="S4" s="12">
        <f>Rates!S4</f>
        <v>0.98</v>
      </c>
    </row>
    <row r="5" spans="1:19" x14ac:dyDescent="0.25">
      <c r="A5" s="3">
        <v>2033</v>
      </c>
      <c r="B5" s="12">
        <f>Rates!B5/Rates!B$22</f>
        <v>2.1555555555555554</v>
      </c>
      <c r="C5" s="12">
        <f>Rates!C5/Rates!C$22</f>
        <v>1.4666666666666666</v>
      </c>
      <c r="D5" s="12">
        <f>Rates!D5/Rates!D$22</f>
        <v>1.125</v>
      </c>
      <c r="E5" s="12">
        <f>Rates!E5/Rates!E$22</f>
        <v>1.5666666666666667</v>
      </c>
      <c r="F5" s="12">
        <f>Rates!F5/Rates!F$22</f>
        <v>1.2684210526315793</v>
      </c>
      <c r="G5" s="12">
        <f>Rates!G5/Rates!G$22</f>
        <v>1.0739130434782609</v>
      </c>
      <c r="H5" s="12">
        <f>Rates!H5/Rates!H$22</f>
        <v>1.3108108108108107</v>
      </c>
      <c r="I5" s="12">
        <f>Rates!I5/Rates!I$22</f>
        <v>1.2300500571608179</v>
      </c>
      <c r="J5" s="12">
        <f>Rates!J5/Rates!J$22</f>
        <v>1.1647058823529413</v>
      </c>
      <c r="K5" s="12">
        <f>Rates!K5/Rates!K$22</f>
        <v>1.2124999999999999</v>
      </c>
      <c r="L5" s="12">
        <f>Rates!L5/Rates!L$22</f>
        <v>1.055026455026455</v>
      </c>
      <c r="M5" s="12">
        <f>Rates!M5/Rates!M$22</f>
        <v>1.053475935828877</v>
      </c>
      <c r="N5" s="12">
        <f>Rates!N5/Rates!N$22</f>
        <v>1.4461538461538461</v>
      </c>
      <c r="O5" s="12">
        <f>Rates!O5/Rates!O$22</f>
        <v>1.1746987951807228</v>
      </c>
      <c r="P5" s="12">
        <f>Rates!P5/Rates!P$22</f>
        <v>1.0631016042780748</v>
      </c>
      <c r="Q5" s="12">
        <f>Rates!Q5</f>
        <v>0.94</v>
      </c>
      <c r="R5" s="12">
        <f>Rates!R5</f>
        <v>0.94</v>
      </c>
      <c r="S5" s="12">
        <f>Rates!S5</f>
        <v>0.97499999999999998</v>
      </c>
    </row>
    <row r="6" spans="1:19" x14ac:dyDescent="0.25">
      <c r="A6" s="3">
        <v>2034</v>
      </c>
      <c r="B6" s="12">
        <f>Rates!B6/Rates!B$22</f>
        <v>2.0617283950617282</v>
      </c>
      <c r="C6" s="12">
        <f>Rates!C6/Rates!C$22</f>
        <v>1.4166666666666665</v>
      </c>
      <c r="D6" s="12">
        <f>Rates!D6/Rates!D$22</f>
        <v>1.0999999999999999</v>
      </c>
      <c r="E6" s="12">
        <f>Rates!E6/Rates!E$22</f>
        <v>1.5333333333333334</v>
      </c>
      <c r="F6" s="12">
        <f>Rates!F6/Rates!F$22</f>
        <v>1.2526315789473688</v>
      </c>
      <c r="G6" s="12">
        <f>Rates!G6/Rates!G$22</f>
        <v>1.0695652173913044</v>
      </c>
      <c r="H6" s="12">
        <f>Rates!H6/Rates!H$22</f>
        <v>1.2972972972972974</v>
      </c>
      <c r="I6" s="12">
        <f>Rates!I6/Rates!I$22</f>
        <v>1.2300500571608179</v>
      </c>
      <c r="J6" s="12">
        <f>Rates!J6/Rates!J$22</f>
        <v>1.1588235294117648</v>
      </c>
      <c r="K6" s="12">
        <f>Rates!K6/Rates!K$22</f>
        <v>1.2</v>
      </c>
      <c r="L6" s="12">
        <f>Rates!L6/Rates!L$22</f>
        <v>1.053968253968254</v>
      </c>
      <c r="M6" s="12">
        <f>Rates!M6/Rates!M$22</f>
        <v>1.0481283422459893</v>
      </c>
      <c r="N6" s="12">
        <f>Rates!N6/Rates!N$22</f>
        <v>1.4153846153846155</v>
      </c>
      <c r="O6" s="12">
        <f>Rates!O6/Rates!O$22</f>
        <v>1.1686746987951808</v>
      </c>
      <c r="P6" s="12">
        <f>Rates!P6/Rates!P$22</f>
        <v>1.0609625668449196</v>
      </c>
      <c r="Q6" s="12">
        <f>Rates!Q6</f>
        <v>0.92</v>
      </c>
      <c r="R6" s="12">
        <f>Rates!R6</f>
        <v>0.93</v>
      </c>
      <c r="S6" s="12">
        <f>Rates!S6</f>
        <v>0.97</v>
      </c>
    </row>
    <row r="7" spans="1:19" x14ac:dyDescent="0.25">
      <c r="A7" s="3">
        <v>2035</v>
      </c>
      <c r="B7" s="12">
        <f>Rates!B7/Rates!B$22</f>
        <v>1.9753086419753085</v>
      </c>
      <c r="C7" s="12">
        <f>Rates!C7/Rates!C$22</f>
        <v>1.3666666666666665</v>
      </c>
      <c r="D7" s="12">
        <f>Rates!D7/Rates!D$22</f>
        <v>1.0874999999999999</v>
      </c>
      <c r="E7" s="12">
        <f>Rates!E7/Rates!E$22</f>
        <v>1.5</v>
      </c>
      <c r="F7" s="12">
        <f>Rates!F7/Rates!F$22</f>
        <v>1.2368421052631582</v>
      </c>
      <c r="G7" s="12">
        <f>Rates!G7/Rates!G$22</f>
        <v>1.0652173913043479</v>
      </c>
      <c r="H7" s="12">
        <f>Rates!H7/Rates!H$22</f>
        <v>1.2837837837837838</v>
      </c>
      <c r="I7" s="12">
        <f>Rates!I7/Rates!I$22</f>
        <v>1.2174985259652995</v>
      </c>
      <c r="J7" s="12">
        <f>Rates!J7/Rates!J$22</f>
        <v>1.1529411764705881</v>
      </c>
      <c r="K7" s="12">
        <f>Rates!K7/Rates!K$22</f>
        <v>1.1874999999999998</v>
      </c>
      <c r="L7" s="12">
        <f>Rates!L7/Rates!L$22</f>
        <v>1.052910052910053</v>
      </c>
      <c r="M7" s="12">
        <f>Rates!M7/Rates!M$22</f>
        <v>1.0427807486631016</v>
      </c>
      <c r="N7" s="12">
        <f>Rates!N7/Rates!N$22</f>
        <v>1.3846153846153846</v>
      </c>
      <c r="O7" s="12">
        <f>Rates!O7/Rates!O$22</f>
        <v>1.1662650602409639</v>
      </c>
      <c r="P7" s="12">
        <f>Rates!P7/Rates!P$22</f>
        <v>1.0588235294117647</v>
      </c>
      <c r="Q7" s="12">
        <f>Rates!Q7</f>
        <v>0.9</v>
      </c>
      <c r="R7" s="12">
        <f>Rates!R7</f>
        <v>0.92</v>
      </c>
      <c r="S7" s="12">
        <f>Rates!S7</f>
        <v>0.96499999999999997</v>
      </c>
    </row>
    <row r="8" spans="1:19" x14ac:dyDescent="0.25">
      <c r="A8" s="3">
        <v>2036</v>
      </c>
      <c r="B8" s="12">
        <f>Rates!B8/Rates!B$22</f>
        <v>1.9160493827160494</v>
      </c>
      <c r="C8" s="12">
        <f>Rates!C8/Rates!C$22</f>
        <v>1.3166666666666664</v>
      </c>
      <c r="D8" s="12">
        <f>Rates!D8/Rates!D$22</f>
        <v>1.075</v>
      </c>
      <c r="E8" s="12">
        <f>Rates!E8/Rates!E$22</f>
        <v>1.4666666666666668</v>
      </c>
      <c r="F8" s="12">
        <f>Rates!F8/Rates!F$22</f>
        <v>1.2210526315789476</v>
      </c>
      <c r="G8" s="12">
        <f>Rates!G8/Rates!G$22</f>
        <v>1.0608695652173914</v>
      </c>
      <c r="H8" s="12">
        <f>Rates!H8/Rates!H$22</f>
        <v>1.2702702702702702</v>
      </c>
      <c r="I8" s="12">
        <f>Rates!I8/Rates!I$22</f>
        <v>1.2049469947697808</v>
      </c>
      <c r="J8" s="12">
        <f>Rates!J8/Rates!J$22</f>
        <v>1.1411764705882352</v>
      </c>
      <c r="K8" s="12">
        <f>Rates!K8/Rates!K$22</f>
        <v>1.1749999999999998</v>
      </c>
      <c r="L8" s="12">
        <f>Rates!L8/Rates!L$22</f>
        <v>1.0518518518518518</v>
      </c>
      <c r="M8" s="12">
        <f>Rates!M8/Rates!M$22</f>
        <v>1.0374331550802138</v>
      </c>
      <c r="N8" s="12">
        <f>Rates!N8/Rates!N$22</f>
        <v>1.3538461538461537</v>
      </c>
      <c r="O8" s="12">
        <f>Rates!O8/Rates!O$22</f>
        <v>1.1626506024096386</v>
      </c>
      <c r="P8" s="12">
        <f>Rates!P8/Rates!P$22</f>
        <v>1.0566844919786096</v>
      </c>
      <c r="Q8" s="12">
        <f>Rates!Q8</f>
        <v>0.88</v>
      </c>
      <c r="R8" s="12">
        <f>Rates!R8</f>
        <v>0.91</v>
      </c>
      <c r="S8" s="12">
        <f>Rates!S8</f>
        <v>0.96</v>
      </c>
    </row>
    <row r="9" spans="1:19" x14ac:dyDescent="0.25">
      <c r="A9" s="3">
        <v>2037</v>
      </c>
      <c r="B9" s="12">
        <f>Rates!B9/Rates!B$22</f>
        <v>1.8567901234567901</v>
      </c>
      <c r="C9" s="12">
        <f>Rates!C9/Rates!C$22</f>
        <v>1.2666666666666664</v>
      </c>
      <c r="D9" s="12">
        <f>Rates!D9/Rates!D$22</f>
        <v>1.0625</v>
      </c>
      <c r="E9" s="12">
        <f>Rates!E9/Rates!E$22</f>
        <v>1.4333333333333333</v>
      </c>
      <c r="F9" s="12">
        <f>Rates!F9/Rates!F$22</f>
        <v>1.205263157894737</v>
      </c>
      <c r="G9" s="12">
        <f>Rates!G9/Rates!G$22</f>
        <v>1.0565217391304349</v>
      </c>
      <c r="H9" s="12">
        <f>Rates!H9/Rates!H$22</f>
        <v>1.2567567567567568</v>
      </c>
      <c r="I9" s="12">
        <f>Rates!I9/Rates!I$22</f>
        <v>1.1923954635742624</v>
      </c>
      <c r="J9" s="12">
        <f>Rates!J9/Rates!J$22</f>
        <v>1.1294117647058823</v>
      </c>
      <c r="K9" s="12">
        <f>Rates!K9/Rates!K$22</f>
        <v>1.1625000000000001</v>
      </c>
      <c r="L9" s="12">
        <f>Rates!L9/Rates!L$22</f>
        <v>1.0507936507936508</v>
      </c>
      <c r="M9" s="12">
        <f>Rates!M9/Rates!M$22</f>
        <v>1.0320855614973261</v>
      </c>
      <c r="N9" s="12">
        <f>Rates!N9/Rates!N$22</f>
        <v>1.323076923076923</v>
      </c>
      <c r="O9" s="12">
        <f>Rates!O9/Rates!O$22</f>
        <v>1.1566265060240963</v>
      </c>
      <c r="P9" s="12">
        <f>Rates!P9/Rates!P$22</f>
        <v>1.0545454545454545</v>
      </c>
      <c r="Q9" s="12">
        <f>Rates!Q9</f>
        <v>0.86</v>
      </c>
      <c r="R9" s="12">
        <f>Rates!R9</f>
        <v>0.9</v>
      </c>
      <c r="S9" s="12">
        <f>Rates!S9</f>
        <v>0.95499999999999996</v>
      </c>
    </row>
    <row r="10" spans="1:19" x14ac:dyDescent="0.25">
      <c r="A10" s="3">
        <v>2038</v>
      </c>
      <c r="B10" s="12">
        <f>Rates!B10/Rates!B$22</f>
        <v>1.7975308641975307</v>
      </c>
      <c r="C10" s="12">
        <f>Rates!C10/Rates!C$22</f>
        <v>1.2333333333333332</v>
      </c>
      <c r="D10" s="12">
        <f>Rates!D10/Rates!D$22</f>
        <v>1.0499999999999998</v>
      </c>
      <c r="E10" s="12">
        <f>Rates!E10/Rates!E$22</f>
        <v>1.4</v>
      </c>
      <c r="F10" s="12">
        <f>Rates!F10/Rates!F$22</f>
        <v>1.1894736842105265</v>
      </c>
      <c r="G10" s="12">
        <f>Rates!G10/Rates!G$22</f>
        <v>1.0521739130434784</v>
      </c>
      <c r="H10" s="12">
        <f>Rates!H10/Rates!H$22</f>
        <v>1.2432432432432432</v>
      </c>
      <c r="I10" s="12">
        <f>Rates!I10/Rates!I$22</f>
        <v>1.1798439323787437</v>
      </c>
      <c r="J10" s="12">
        <f>Rates!J10/Rates!J$22</f>
        <v>1.1176470588235294</v>
      </c>
      <c r="K10" s="12">
        <f>Rates!K10/Rates!K$22</f>
        <v>1.1499999999999999</v>
      </c>
      <c r="L10" s="12">
        <f>Rates!L10/Rates!L$22</f>
        <v>1.0497354497354499</v>
      </c>
      <c r="M10" s="12">
        <f>Rates!M10/Rates!M$22</f>
        <v>1.0267379679144384</v>
      </c>
      <c r="N10" s="12">
        <f>Rates!N10/Rates!N$22</f>
        <v>1.2923076923076922</v>
      </c>
      <c r="O10" s="12">
        <f>Rates!O10/Rates!O$22</f>
        <v>1.1445783132530121</v>
      </c>
      <c r="P10" s="12">
        <f>Rates!P10/Rates!P$22</f>
        <v>1.0524064171122993</v>
      </c>
      <c r="Q10" s="12">
        <f>Rates!Q10</f>
        <v>0.84</v>
      </c>
      <c r="R10" s="12">
        <f>Rates!R10</f>
        <v>0.89</v>
      </c>
      <c r="S10" s="12">
        <f>Rates!S10</f>
        <v>0.95</v>
      </c>
    </row>
    <row r="11" spans="1:19" x14ac:dyDescent="0.25">
      <c r="A11" s="3">
        <v>2039</v>
      </c>
      <c r="B11" s="12">
        <f>Rates!B11/Rates!B$22</f>
        <v>1.7530864197530862</v>
      </c>
      <c r="C11" s="12">
        <f>Rates!C11/Rates!C$22</f>
        <v>1.1999999999999997</v>
      </c>
      <c r="D11" s="12">
        <f>Rates!D11/Rates!D$22</f>
        <v>1.0374999999999999</v>
      </c>
      <c r="E11" s="12">
        <f>Rates!E11/Rates!E$22</f>
        <v>1.3666666666666667</v>
      </c>
      <c r="F11" s="12">
        <f>Rates!F11/Rates!F$22</f>
        <v>1.1736842105263159</v>
      </c>
      <c r="G11" s="12">
        <f>Rates!G11/Rates!G$22</f>
        <v>1.0478260869565217</v>
      </c>
      <c r="H11" s="12">
        <f>Rates!H11/Rates!H$22</f>
        <v>1.2297297297297298</v>
      </c>
      <c r="I11" s="12">
        <f>Rates!I11/Rates!I$22</f>
        <v>1.1672924011832253</v>
      </c>
      <c r="J11" s="12">
        <f>Rates!J11/Rates!J$22</f>
        <v>1.1058823529411765</v>
      </c>
      <c r="K11" s="12">
        <f>Rates!K11/Rates!K$22</f>
        <v>1.1375</v>
      </c>
      <c r="L11" s="12">
        <f>Rates!L11/Rates!L$22</f>
        <v>1.0486772486772487</v>
      </c>
      <c r="M11" s="12">
        <f>Rates!M11/Rates!M$22</f>
        <v>1.0213903743315507</v>
      </c>
      <c r="N11" s="12">
        <f>Rates!N11/Rates!N$22</f>
        <v>1.2615384615384615</v>
      </c>
      <c r="O11" s="12">
        <f>Rates!O11/Rates!O$22</f>
        <v>1.1325301204819278</v>
      </c>
      <c r="P11" s="12">
        <f>Rates!P11/Rates!P$22</f>
        <v>1.0502673796791444</v>
      </c>
      <c r="Q11" s="12">
        <f>Rates!Q11</f>
        <v>0.82</v>
      </c>
      <c r="R11" s="12">
        <f>Rates!R11</f>
        <v>0.88</v>
      </c>
      <c r="S11" s="12">
        <f>Rates!S11</f>
        <v>0.94499999999999995</v>
      </c>
    </row>
    <row r="12" spans="1:19" x14ac:dyDescent="0.25">
      <c r="A12" s="3">
        <v>2040</v>
      </c>
      <c r="B12" s="12">
        <f>Rates!B12/Rates!B$22</f>
        <v>1.7037037037037035</v>
      </c>
      <c r="C12" s="12">
        <f>Rates!C12/Rates!C$22</f>
        <v>1.1833333333333331</v>
      </c>
      <c r="D12" s="12">
        <f>Rates!D12/Rates!D$22</f>
        <v>1.0312499999999998</v>
      </c>
      <c r="E12" s="12">
        <f>Rates!E12/Rates!E$22</f>
        <v>1.3333333333333335</v>
      </c>
      <c r="F12" s="12">
        <f>Rates!F12/Rates!F$22</f>
        <v>1.1578947368421055</v>
      </c>
      <c r="G12" s="12">
        <f>Rates!G12/Rates!G$22</f>
        <v>1.0434782608695652</v>
      </c>
      <c r="H12" s="12">
        <f>Rates!H12/Rates!H$22</f>
        <v>1.2162162162162162</v>
      </c>
      <c r="I12" s="12">
        <f>Rates!I12/Rates!I$22</f>
        <v>1.1547408699877069</v>
      </c>
      <c r="J12" s="12">
        <f>Rates!J12/Rates!J$22</f>
        <v>1.0941176470588236</v>
      </c>
      <c r="K12" s="12">
        <f>Rates!K12/Rates!K$22</f>
        <v>1.125</v>
      </c>
      <c r="L12" s="12">
        <f>Rates!L12/Rates!L$22</f>
        <v>1.0476190476190477</v>
      </c>
      <c r="M12" s="12">
        <f>Rates!M12/Rates!M$22</f>
        <v>1.0160427807486629</v>
      </c>
      <c r="N12" s="12">
        <f>Rates!N12/Rates!N$22</f>
        <v>1.2307692307692308</v>
      </c>
      <c r="O12" s="12">
        <f>Rates!O12/Rates!O$22</f>
        <v>1.1204819277108435</v>
      </c>
      <c r="P12" s="12">
        <f>Rates!P12/Rates!P$22</f>
        <v>1.0481283422459893</v>
      </c>
      <c r="Q12" s="12">
        <f>Rates!Q12</f>
        <v>0.8</v>
      </c>
      <c r="R12" s="12">
        <f>Rates!R12</f>
        <v>0.875</v>
      </c>
      <c r="S12" s="12">
        <f>Rates!S12</f>
        <v>0.94</v>
      </c>
    </row>
    <row r="13" spans="1:19" x14ac:dyDescent="0.25">
      <c r="A13" s="3">
        <v>2041</v>
      </c>
      <c r="B13" s="12">
        <f>Rates!B13/Rates!B$22</f>
        <v>1.6049382716049383</v>
      </c>
      <c r="C13" s="12">
        <f>Rates!C13/Rates!C$22</f>
        <v>1.158333333333333</v>
      </c>
      <c r="D13" s="12">
        <f>Rates!D13/Rates!D$22</f>
        <v>1.0249999999999999</v>
      </c>
      <c r="E13" s="12">
        <f>Rates!E13/Rates!E$22</f>
        <v>1.3</v>
      </c>
      <c r="F13" s="12">
        <f>Rates!F13/Rates!F$22</f>
        <v>1.142105263157895</v>
      </c>
      <c r="G13" s="12">
        <f>Rates!G13/Rates!G$22</f>
        <v>1.0391304347826087</v>
      </c>
      <c r="H13" s="12">
        <f>Rates!H13/Rates!H$22</f>
        <v>1.1959459459459461</v>
      </c>
      <c r="I13" s="12">
        <f>Rates!I13/Rates!I$22</f>
        <v>1.1421893387921882</v>
      </c>
      <c r="J13" s="12">
        <f>Rates!J13/Rates!J$22</f>
        <v>1.0882352941176472</v>
      </c>
      <c r="K13" s="12">
        <f>Rates!K13/Rates!K$22</f>
        <v>1.1125</v>
      </c>
      <c r="L13" s="12">
        <f>Rates!L13/Rates!L$22</f>
        <v>1.0456968376920868</v>
      </c>
      <c r="M13" s="12">
        <f>Rates!M13/Rates!M$22</f>
        <v>1.0139037433155078</v>
      </c>
      <c r="N13" s="12">
        <f>Rates!N13/Rates!N$22</f>
        <v>1.2</v>
      </c>
      <c r="O13" s="12">
        <f>Rates!O13/Rates!O$22</f>
        <v>1.1084337349397591</v>
      </c>
      <c r="P13" s="12">
        <f>Rates!P13/Rates!P$22</f>
        <v>1.0459893048128341</v>
      </c>
      <c r="Q13" s="12">
        <f>Rates!Q13</f>
        <v>0.79</v>
      </c>
      <c r="R13" s="12">
        <f>Rates!R13</f>
        <v>0.87</v>
      </c>
      <c r="S13" s="12">
        <f>Rates!S13</f>
        <v>0.93500000000000005</v>
      </c>
    </row>
    <row r="14" spans="1:19" x14ac:dyDescent="0.25">
      <c r="A14" s="3">
        <v>2042</v>
      </c>
      <c r="B14" s="12">
        <f>Rates!B14/Rates!B$22</f>
        <v>1.5111111111111111</v>
      </c>
      <c r="C14" s="12">
        <f>Rates!C14/Rates!C$22</f>
        <v>1.1333333333333333</v>
      </c>
      <c r="D14" s="12">
        <f>Rates!D14/Rates!D$22</f>
        <v>1.0187499999999998</v>
      </c>
      <c r="E14" s="12">
        <f>Rates!E14/Rates!E$22</f>
        <v>1.2666666666666668</v>
      </c>
      <c r="F14" s="12">
        <f>Rates!F14/Rates!F$22</f>
        <v>1.1263157894736844</v>
      </c>
      <c r="G14" s="12">
        <f>Rates!G14/Rates!G$22</f>
        <v>1.0347826086956522</v>
      </c>
      <c r="H14" s="12">
        <f>Rates!H14/Rates!H$22</f>
        <v>1.1756756756756757</v>
      </c>
      <c r="I14" s="12">
        <f>Rates!I14/Rates!I$22</f>
        <v>1.1296378075966695</v>
      </c>
      <c r="J14" s="12">
        <f>Rates!J14/Rates!J$22</f>
        <v>1.0823529411764707</v>
      </c>
      <c r="K14" s="12">
        <f>Rates!K14/Rates!K$22</f>
        <v>1.0999999999999999</v>
      </c>
      <c r="L14" s="12">
        <f>Rates!L14/Rates!L$22</f>
        <v>1.0433862433862435</v>
      </c>
      <c r="M14" s="12">
        <f>Rates!M14/Rates!M$22</f>
        <v>1.0117647058823529</v>
      </c>
      <c r="N14" s="12">
        <f>Rates!N14/Rates!N$22</f>
        <v>1.1692307692307693</v>
      </c>
      <c r="O14" s="12">
        <f>Rates!O14/Rates!O$22</f>
        <v>1.0963855421686748</v>
      </c>
      <c r="P14" s="12">
        <f>Rates!P14/Rates!P$22</f>
        <v>1.0427807486631016</v>
      </c>
      <c r="Q14" s="12">
        <f>Rates!Q14</f>
        <v>0.78</v>
      </c>
      <c r="R14" s="12">
        <f>Rates!R14</f>
        <v>0.86</v>
      </c>
      <c r="S14" s="12">
        <f>Rates!S14</f>
        <v>0.93</v>
      </c>
    </row>
    <row r="15" spans="1:19" x14ac:dyDescent="0.25">
      <c r="A15" s="3">
        <v>2043</v>
      </c>
      <c r="B15" s="12">
        <f>Rates!B15/Rates!B$22</f>
        <v>1.419753086419753</v>
      </c>
      <c r="C15" s="12">
        <f>Rates!C15/Rates!C$22</f>
        <v>1.1083333333333332</v>
      </c>
      <c r="D15" s="12">
        <f>Rates!D15/Rates!D$22</f>
        <v>1.0125</v>
      </c>
      <c r="E15" s="12">
        <f>Rates!E15/Rates!E$22</f>
        <v>1.2333333333333334</v>
      </c>
      <c r="F15" s="12">
        <f>Rates!F15/Rates!F$22</f>
        <v>1.1105263157894738</v>
      </c>
      <c r="G15" s="12">
        <f>Rates!G15/Rates!G$22</f>
        <v>1.0304347826086957</v>
      </c>
      <c r="H15" s="12">
        <f>Rates!H15/Rates!H$22</f>
        <v>1.1621621621621621</v>
      </c>
      <c r="I15" s="12">
        <f>Rates!I15/Rates!I$22</f>
        <v>1.1170862764011511</v>
      </c>
      <c r="J15" s="12">
        <f>Rates!J15/Rates!J$22</f>
        <v>1.0764705882352943</v>
      </c>
      <c r="K15" s="12">
        <f>Rates!K15/Rates!K$22</f>
        <v>1.0874999999999999</v>
      </c>
      <c r="L15" s="12">
        <f>Rates!L15/Rates!L$22</f>
        <v>1.0412698412698413</v>
      </c>
      <c r="M15" s="12">
        <f>Rates!M15/Rates!M$22</f>
        <v>1.0096256684491978</v>
      </c>
      <c r="N15" s="12">
        <f>Rates!N15/Rates!N$22</f>
        <v>1.1384615384615384</v>
      </c>
      <c r="O15" s="12">
        <f>Rates!O15/Rates!O$22</f>
        <v>1.0843373493975905</v>
      </c>
      <c r="P15" s="12">
        <f>Rates!P15/Rates!P$22</f>
        <v>1.0374331550802138</v>
      </c>
      <c r="Q15" s="12">
        <f>Rates!Q15</f>
        <v>0.77</v>
      </c>
      <c r="R15" s="12">
        <f>Rates!R15</f>
        <v>0.85</v>
      </c>
      <c r="S15" s="12">
        <f>Rates!S15</f>
        <v>0.92800000000000005</v>
      </c>
    </row>
    <row r="16" spans="1:19" x14ac:dyDescent="0.25">
      <c r="A16" s="3">
        <v>2044</v>
      </c>
      <c r="B16" s="12">
        <f>Rates!B16/Rates!B$22</f>
        <v>1.3209876543209877</v>
      </c>
      <c r="C16" s="12">
        <f>Rates!C16/Rates!C$22</f>
        <v>1.0833333333333333</v>
      </c>
      <c r="D16" s="12">
        <f>Rates!D16/Rates!D$22</f>
        <v>1.0062500000000001</v>
      </c>
      <c r="E16" s="12">
        <f>Rates!E16/Rates!E$22</f>
        <v>1.2</v>
      </c>
      <c r="F16" s="12">
        <f>Rates!F16/Rates!F$22</f>
        <v>1.0947368421052632</v>
      </c>
      <c r="G16" s="12">
        <f>Rates!G16/Rates!G$22</f>
        <v>1.0260869565217392</v>
      </c>
      <c r="H16" s="12">
        <f>Rates!H16/Rates!H$22</f>
        <v>1.1486486486486487</v>
      </c>
      <c r="I16" s="12">
        <f>Rates!I16/Rates!I$22</f>
        <v>1.1045347452056324</v>
      </c>
      <c r="J16" s="12">
        <f>Rates!J16/Rates!J$22</f>
        <v>1.0705882352941176</v>
      </c>
      <c r="K16" s="12">
        <f>Rates!K16/Rates!K$22</f>
        <v>1.075</v>
      </c>
      <c r="L16" s="12">
        <f>Rates!L16/Rates!L$22</f>
        <v>1.0391534391534392</v>
      </c>
      <c r="M16" s="12">
        <f>Rates!M16/Rates!M$22</f>
        <v>1.0074866310160426</v>
      </c>
      <c r="N16" s="12">
        <f>Rates!N16/Rates!N$22</f>
        <v>1.1076923076923075</v>
      </c>
      <c r="O16" s="12">
        <f>Rates!O16/Rates!O$22</f>
        <v>1.072289156626506</v>
      </c>
      <c r="P16" s="12">
        <f>Rates!P16/Rates!P$22</f>
        <v>1.0320855614973261</v>
      </c>
      <c r="Q16" s="12">
        <f>Rates!Q16</f>
        <v>0.76</v>
      </c>
      <c r="R16" s="12">
        <f>Rates!R16</f>
        <v>0.84499999999999997</v>
      </c>
      <c r="S16" s="12">
        <f>Rates!S16</f>
        <v>0.92500000000000004</v>
      </c>
    </row>
    <row r="17" spans="1:19" x14ac:dyDescent="0.25">
      <c r="A17" s="3">
        <v>2045</v>
      </c>
      <c r="B17" s="12">
        <f>Rates!B17/Rates!B$22</f>
        <v>1.2345679012345678</v>
      </c>
      <c r="C17" s="12">
        <f>Rates!C17/Rates!C$22</f>
        <v>1.0666666666666664</v>
      </c>
      <c r="D17" s="12">
        <f>Rates!D17/Rates!D$22</f>
        <v>1</v>
      </c>
      <c r="E17" s="12">
        <f>Rates!E17/Rates!E$22</f>
        <v>1.1666666666666667</v>
      </c>
      <c r="F17" s="12">
        <f>Rates!F17/Rates!F$22</f>
        <v>1.0789473684210527</v>
      </c>
      <c r="G17" s="12">
        <f>Rates!G17/Rates!G$22</f>
        <v>1.0217391304347827</v>
      </c>
      <c r="H17" s="12">
        <f>Rates!H17/Rates!H$22</f>
        <v>1.1351351351351351</v>
      </c>
      <c r="I17" s="12">
        <f>Rates!I17/Rates!I$22</f>
        <v>1.0911888036899422</v>
      </c>
      <c r="J17" s="12">
        <f>Rates!J17/Rates!J$22</f>
        <v>1.0588235294117647</v>
      </c>
      <c r="K17" s="12">
        <f>Rates!K17/Rates!K$22</f>
        <v>1.0625</v>
      </c>
      <c r="L17" s="12">
        <f>Rates!L17/Rates!L$22</f>
        <v>1.037037037037037</v>
      </c>
      <c r="M17" s="12">
        <f>Rates!M17/Rates!M$22</f>
        <v>1.0053475935828875</v>
      </c>
      <c r="N17" s="12">
        <f>Rates!N17/Rates!N$22</f>
        <v>1.0769230769230769</v>
      </c>
      <c r="O17" s="12">
        <f>Rates!O17/Rates!O$22</f>
        <v>1.0602409638554218</v>
      </c>
      <c r="P17" s="12">
        <f>Rates!P17/Rates!P$22</f>
        <v>1.0267379679144384</v>
      </c>
      <c r="Q17" s="12">
        <f>Rates!Q17</f>
        <v>0.75</v>
      </c>
      <c r="R17" s="12">
        <f>Rates!R17</f>
        <v>0.84</v>
      </c>
      <c r="S17" s="12">
        <f>Rates!S17</f>
        <v>0.92</v>
      </c>
    </row>
    <row r="18" spans="1:19" x14ac:dyDescent="0.25">
      <c r="A18" s="3">
        <v>2046</v>
      </c>
      <c r="B18" s="12">
        <f>Rates!B18/Rates!B$22</f>
        <v>1.1851851851851851</v>
      </c>
      <c r="C18" s="12">
        <f>Rates!C18/Rates!C$22</f>
        <v>1.0499999999999998</v>
      </c>
      <c r="D18" s="12">
        <f>Rates!D18/Rates!D$22</f>
        <v>1</v>
      </c>
      <c r="E18" s="12">
        <f>Rates!E18/Rates!E$22</f>
        <v>1.1333333333333335</v>
      </c>
      <c r="F18" s="12">
        <f>Rates!F18/Rates!F$22</f>
        <v>1.0631578947368421</v>
      </c>
      <c r="G18" s="12">
        <f>Rates!G18/Rates!G$22</f>
        <v>1.0173913043478262</v>
      </c>
      <c r="H18" s="12">
        <f>Rates!H18/Rates!H$22</f>
        <v>1.1081081081081081</v>
      </c>
      <c r="I18" s="12">
        <f>Rates!I18/Rates!I$22</f>
        <v>1.0794316828145953</v>
      </c>
      <c r="J18" s="12">
        <f>Rates!J18/Rates!J$22</f>
        <v>1.0470588235294118</v>
      </c>
      <c r="K18" s="12">
        <f>Rates!K18/Rates!K$22</f>
        <v>1.0499999999999998</v>
      </c>
      <c r="L18" s="12">
        <f>Rates!L18/Rates!L$22</f>
        <v>1.0264550264550265</v>
      </c>
      <c r="M18" s="12">
        <f>Rates!M18/Rates!M$22</f>
        <v>1.0053475935828875</v>
      </c>
      <c r="N18" s="12">
        <f>Rates!N18/Rates!N$22</f>
        <v>1.0615384615384613</v>
      </c>
      <c r="O18" s="12">
        <f>Rates!O18/Rates!O$22</f>
        <v>1.0481927710843375</v>
      </c>
      <c r="P18" s="12">
        <f>Rates!P18/Rates!P$22</f>
        <v>1.0213903743315507</v>
      </c>
      <c r="Q18" s="12">
        <f>Rates!Q18</f>
        <v>0.74</v>
      </c>
      <c r="R18" s="12">
        <f>Rates!R18</f>
        <v>0.83799999999999997</v>
      </c>
      <c r="S18" s="12">
        <f>Rates!S18</f>
        <v>0.91800000000000004</v>
      </c>
    </row>
    <row r="19" spans="1:19" x14ac:dyDescent="0.25">
      <c r="A19" s="3">
        <v>2047</v>
      </c>
      <c r="B19" s="12">
        <f>Rates!B19/Rates!B$22</f>
        <v>1.1358024691358024</v>
      </c>
      <c r="C19" s="12">
        <f>Rates!C19/Rates!C$22</f>
        <v>1.0333333333333332</v>
      </c>
      <c r="D19" s="12">
        <f>Rates!D19/Rates!D$22</f>
        <v>1</v>
      </c>
      <c r="E19" s="12">
        <f>Rates!E19/Rates!E$22</f>
        <v>1.1000000000000001</v>
      </c>
      <c r="F19" s="12">
        <f>Rates!F19/Rates!F$22</f>
        <v>1.0473684210526317</v>
      </c>
      <c r="G19" s="12">
        <f>Rates!G19/Rates!G$22</f>
        <v>1.0130434782608695</v>
      </c>
      <c r="H19" s="12">
        <f>Rates!H19/Rates!H$22</f>
        <v>1.0810810810810811</v>
      </c>
      <c r="I19" s="12">
        <f>Rates!I19/Rates!I$22</f>
        <v>1.0543286204235582</v>
      </c>
      <c r="J19" s="12">
        <f>Rates!J19/Rates!J$22</f>
        <v>1.0352941176470589</v>
      </c>
      <c r="K19" s="12">
        <f>Rates!K19/Rates!K$22</f>
        <v>1.0374999999999999</v>
      </c>
      <c r="L19" s="12">
        <f>Rates!L19/Rates!L$22</f>
        <v>1.0158730158730158</v>
      </c>
      <c r="M19" s="12">
        <f>Rates!M19/Rates!M$22</f>
        <v>1.0053475935828875</v>
      </c>
      <c r="N19" s="12">
        <f>Rates!N19/Rates!N$22</f>
        <v>1.0461538461538462</v>
      </c>
      <c r="O19" s="12">
        <f>Rates!O19/Rates!O$22</f>
        <v>1.036144578313253</v>
      </c>
      <c r="P19" s="12">
        <f>Rates!P19/Rates!P$22</f>
        <v>1.0160427807486629</v>
      </c>
      <c r="Q19" s="12">
        <f>Rates!Q19</f>
        <v>0.73</v>
      </c>
      <c r="R19" s="12">
        <f>Rates!R19</f>
        <v>0.83499999999999996</v>
      </c>
      <c r="S19" s="12">
        <f>Rates!S19</f>
        <v>0.91600000000000004</v>
      </c>
    </row>
    <row r="20" spans="1:19" x14ac:dyDescent="0.25">
      <c r="A20" s="3">
        <v>2048</v>
      </c>
      <c r="B20" s="12">
        <f>Rates!B20/Rates!B$22</f>
        <v>1.0864197530864197</v>
      </c>
      <c r="C20" s="12">
        <f>Rates!C20/Rates!C$22</f>
        <v>1.0166666666666664</v>
      </c>
      <c r="D20" s="12">
        <f>Rates!D20/Rates!D$22</f>
        <v>1</v>
      </c>
      <c r="E20" s="12">
        <f>Rates!E20/Rates!E$22</f>
        <v>1.0666666666666667</v>
      </c>
      <c r="F20" s="12">
        <f>Rates!F20/Rates!F$22</f>
        <v>1.0315789473684212</v>
      </c>
      <c r="G20" s="12">
        <f>Rates!G20/Rates!G$22</f>
        <v>1.008695652173913</v>
      </c>
      <c r="H20" s="12">
        <f>Rates!H20/Rates!H$22</f>
        <v>1.0540540540540542</v>
      </c>
      <c r="I20" s="12">
        <f>Rates!I20/Rates!I$22</f>
        <v>1.0417770892280398</v>
      </c>
      <c r="J20" s="12">
        <f>Rates!J20/Rates!J$22</f>
        <v>1.0235294117647058</v>
      </c>
      <c r="K20" s="12">
        <f>Rates!K20/Rates!K$22</f>
        <v>1.0249999999999999</v>
      </c>
      <c r="L20" s="12">
        <f>Rates!L20/Rates!L$22</f>
        <v>1.0105820105820107</v>
      </c>
      <c r="M20" s="12">
        <f>Rates!M20/Rates!M$22</f>
        <v>1.0053475935828875</v>
      </c>
      <c r="N20" s="12">
        <f>Rates!N20/Rates!N$22</f>
        <v>1.0307692307692309</v>
      </c>
      <c r="O20" s="12">
        <f>Rates!O20/Rates!O$22</f>
        <v>1.0240963855421688</v>
      </c>
      <c r="P20" s="12">
        <f>Rates!P20/Rates!P$22</f>
        <v>1.0106951871657752</v>
      </c>
      <c r="Q20" s="12">
        <f>Rates!Q20</f>
        <v>0.72</v>
      </c>
      <c r="R20" s="12">
        <f>Rates!R20</f>
        <v>0.83</v>
      </c>
      <c r="S20" s="12">
        <f>Rates!S20</f>
        <v>0.91400000000000003</v>
      </c>
    </row>
    <row r="21" spans="1:19" x14ac:dyDescent="0.25">
      <c r="A21" s="3">
        <v>2049</v>
      </c>
      <c r="B21" s="12">
        <f>Rates!B21/Rates!B$22</f>
        <v>1.037037037037037</v>
      </c>
      <c r="C21" s="12">
        <f>Rates!C21/Rates!C$22</f>
        <v>1.0083333333333331</v>
      </c>
      <c r="D21" s="12">
        <f>Rates!D21/Rates!D$22</f>
        <v>1</v>
      </c>
      <c r="E21" s="12">
        <f>Rates!E21/Rates!E$22</f>
        <v>1.0333333333333334</v>
      </c>
      <c r="F21" s="12">
        <f>Rates!F21/Rates!F$22</f>
        <v>1.0157894736842106</v>
      </c>
      <c r="G21" s="12">
        <f>Rates!G21/Rates!G$22</f>
        <v>1.0043478260869565</v>
      </c>
      <c r="H21" s="12">
        <f>Rates!H21/Rates!H$22</f>
        <v>1.027027027027027</v>
      </c>
      <c r="I21" s="12">
        <f>Rates!I21/Rates!I$22</f>
        <v>1.0166740268370027</v>
      </c>
      <c r="J21" s="12">
        <f>Rates!J21/Rates!J$22</f>
        <v>1.0117647058823529</v>
      </c>
      <c r="K21" s="12">
        <f>Rates!K21/Rates!K$22</f>
        <v>1.0125</v>
      </c>
      <c r="L21" s="12">
        <f>Rates!L21/Rates!L$22</f>
        <v>1.0052910052910053</v>
      </c>
      <c r="M21" s="12">
        <f>Rates!M21/Rates!M$22</f>
        <v>1.0053475935828875</v>
      </c>
      <c r="N21" s="12">
        <f>Rates!N21/Rates!N$22</f>
        <v>1.0153846153846153</v>
      </c>
      <c r="O21" s="12">
        <f>Rates!O21/Rates!O$22</f>
        <v>1.0120481927710843</v>
      </c>
      <c r="P21" s="12">
        <f>Rates!P21/Rates!P$22</f>
        <v>1.0053475935828875</v>
      </c>
      <c r="Q21" s="12">
        <f>Rates!Q21</f>
        <v>0.71</v>
      </c>
      <c r="R21" s="12">
        <f>Rates!R21</f>
        <v>0.82499999999999996</v>
      </c>
      <c r="S21" s="12">
        <f>Rates!S21</f>
        <v>0.91200000000000003</v>
      </c>
    </row>
    <row r="22" spans="1:19" x14ac:dyDescent="0.25">
      <c r="A22" s="3">
        <v>2050</v>
      </c>
      <c r="B22" s="12">
        <f>Rates!B22/Rates!B$22</f>
        <v>1</v>
      </c>
      <c r="C22" s="12">
        <f>Rates!C22/Rates!C$22</f>
        <v>1</v>
      </c>
      <c r="D22" s="12">
        <f>Rates!D22/Rates!D$22</f>
        <v>1</v>
      </c>
      <c r="E22" s="12">
        <f>Rates!E22/Rates!E$22</f>
        <v>1</v>
      </c>
      <c r="F22" s="12">
        <f>Rates!F22/Rates!F$22</f>
        <v>1</v>
      </c>
      <c r="G22" s="12">
        <f>Rates!G22/Rates!G$22</f>
        <v>1</v>
      </c>
      <c r="H22" s="12">
        <f>Rates!H22/Rates!H$22</f>
        <v>1</v>
      </c>
      <c r="I22" s="12">
        <f>Rates!I22/Rates!I$22</f>
        <v>1</v>
      </c>
      <c r="J22" s="12">
        <f>Rates!J22/Rates!J$22</f>
        <v>1</v>
      </c>
      <c r="K22" s="12">
        <f>Rates!K22/Rates!K$22</f>
        <v>1</v>
      </c>
      <c r="L22" s="12">
        <f>Rates!L22/Rates!L$22</f>
        <v>1</v>
      </c>
      <c r="M22" s="12">
        <f>Rates!M22/Rates!M$22</f>
        <v>1</v>
      </c>
      <c r="N22" s="12">
        <f>Rates!N22/Rates!N$22</f>
        <v>1</v>
      </c>
      <c r="O22" s="12">
        <f>Rates!O22/Rates!O$22</f>
        <v>1</v>
      </c>
      <c r="P22" s="12">
        <f>Rates!P22/Rates!P$22</f>
        <v>1</v>
      </c>
      <c r="Q22" s="12">
        <f>Rates!Q22</f>
        <v>0.7</v>
      </c>
      <c r="R22" s="12">
        <f>Rates!R22</f>
        <v>0.82</v>
      </c>
      <c r="S22" s="12">
        <f>Rates!S22</f>
        <v>0.91</v>
      </c>
    </row>
    <row r="23" spans="1:19" x14ac:dyDescent="0.25">
      <c r="A23" s="3">
        <v>2051</v>
      </c>
      <c r="B23" s="12">
        <f>Rates!B23/Rates!B$22</f>
        <v>0.9580246913580247</v>
      </c>
      <c r="C23" s="12">
        <f>Rates!C23/Rates!C$22</f>
        <v>0.99166666666666647</v>
      </c>
      <c r="D23" s="12">
        <f>Rates!D23/Rates!D$22</f>
        <v>1</v>
      </c>
      <c r="E23" s="12">
        <f>Rates!E23/Rates!E$22</f>
        <v>0.96666666666666667</v>
      </c>
      <c r="F23" s="12">
        <f>Rates!F23/Rates!F$22</f>
        <v>0.98421052631578942</v>
      </c>
      <c r="G23" s="12">
        <f>Rates!G23/Rates!G$22</f>
        <v>0.9956521739130435</v>
      </c>
      <c r="H23" s="12">
        <f>Rates!H23/Rates!H$22</f>
        <v>0.97297297297297292</v>
      </c>
      <c r="I23" s="12">
        <f>Rates!I23/Rates!I$22</f>
        <v>0.97901943325044705</v>
      </c>
      <c r="J23" s="12">
        <f>Rates!J23/Rates!J$22</f>
        <v>0.9882352941176471</v>
      </c>
      <c r="K23" s="12">
        <f>Rates!K23/Rates!K$22</f>
        <v>1</v>
      </c>
      <c r="L23" s="12">
        <f>Rates!L23/Rates!L$22</f>
        <v>0.99470899470899465</v>
      </c>
      <c r="M23" s="12">
        <f>Rates!M23/Rates!M$22</f>
        <v>1</v>
      </c>
      <c r="N23" s="12">
        <f>Rates!N23/Rates!N$22</f>
        <v>0.98461538461538456</v>
      </c>
      <c r="O23" s="12">
        <f>Rates!O23/Rates!O$22</f>
        <v>0.98795180722891562</v>
      </c>
      <c r="P23" s="12">
        <f>Rates!P23/Rates!P$22</f>
        <v>0.99465240641711228</v>
      </c>
      <c r="Q23" s="12">
        <f>Rates!Q23</f>
        <v>0.69</v>
      </c>
      <c r="R23" s="12">
        <f>Rates!R23</f>
        <v>0.81799999999999995</v>
      </c>
      <c r="S23" s="12">
        <f>Rates!S23</f>
        <v>0.90800000000000003</v>
      </c>
    </row>
    <row r="24" spans="1:19" x14ac:dyDescent="0.25">
      <c r="A24" s="3">
        <v>2052</v>
      </c>
      <c r="B24" s="12">
        <f>Rates!B24/Rates!B$22</f>
        <v>0.90617283950617278</v>
      </c>
      <c r="C24" s="12">
        <f>Rates!C24/Rates!C$22</f>
        <v>0.98333333333333317</v>
      </c>
      <c r="D24" s="12">
        <f>Rates!D24/Rates!D$22</f>
        <v>1</v>
      </c>
      <c r="E24" s="12">
        <f>Rates!E24/Rates!E$22</f>
        <v>0.93333333333333346</v>
      </c>
      <c r="F24" s="12">
        <f>Rates!F24/Rates!F$22</f>
        <v>0.96842105263157896</v>
      </c>
      <c r="G24" s="12">
        <f>Rates!G24/Rates!G$22</f>
        <v>0.9913043478260869</v>
      </c>
      <c r="H24" s="12">
        <f>Rates!H24/Rates!H$22</f>
        <v>0.94594594594594594</v>
      </c>
      <c r="I24" s="12">
        <f>Rates!I24/Rates!I$22</f>
        <v>0.95391637085940995</v>
      </c>
      <c r="J24" s="12">
        <f>Rates!J24/Rates!J$22</f>
        <v>0.97647058823529409</v>
      </c>
      <c r="K24" s="12">
        <f>Rates!K24/Rates!K$22</f>
        <v>1</v>
      </c>
      <c r="L24" s="12">
        <f>Rates!L24/Rates!L$22</f>
        <v>0.98412698412698418</v>
      </c>
      <c r="M24" s="12">
        <f>Rates!M24/Rates!M$22</f>
        <v>1</v>
      </c>
      <c r="N24" s="12">
        <f>Rates!N24/Rates!N$22</f>
        <v>0.96923076923076923</v>
      </c>
      <c r="O24" s="12">
        <f>Rates!O24/Rates!O$22</f>
        <v>0.97590361445783147</v>
      </c>
      <c r="P24" s="12">
        <f>Rates!P24/Rates!P$22</f>
        <v>0.98930481283422456</v>
      </c>
      <c r="Q24" s="12">
        <f>Rates!Q24</f>
        <v>0.68</v>
      </c>
      <c r="R24" s="12">
        <f>Rates!R24</f>
        <v>0.81599999999999995</v>
      </c>
      <c r="S24" s="12">
        <f>Rates!S24</f>
        <v>0.90600000000000003</v>
      </c>
    </row>
    <row r="25" spans="1:19" x14ac:dyDescent="0.25">
      <c r="A25" s="3">
        <v>2053</v>
      </c>
      <c r="B25" s="12">
        <f>Rates!B25/Rates!B$22</f>
        <v>0.85679012345678995</v>
      </c>
      <c r="C25" s="12">
        <f>Rates!C25/Rates!C$22</f>
        <v>0.97499999999999976</v>
      </c>
      <c r="D25" s="12">
        <f>Rates!D25/Rates!D$22</f>
        <v>1</v>
      </c>
      <c r="E25" s="12">
        <f>Rates!E25/Rates!E$22</f>
        <v>0.90000000000000013</v>
      </c>
      <c r="F25" s="12">
        <f>Rates!F25/Rates!F$22</f>
        <v>0.95263157894736838</v>
      </c>
      <c r="G25" s="12">
        <f>Rates!G25/Rates!G$22</f>
        <v>0.9869565217391304</v>
      </c>
      <c r="H25" s="12">
        <f>Rates!H25/Rates!H$22</f>
        <v>0.91891891891891897</v>
      </c>
      <c r="I25" s="12">
        <f>Rates!I25/Rates!I$22</f>
        <v>0.9413648396638914</v>
      </c>
      <c r="J25" s="12">
        <f>Rates!J25/Rates!J$22</f>
        <v>0.96470588235294119</v>
      </c>
      <c r="K25" s="12">
        <f>Rates!K25/Rates!K$22</f>
        <v>1</v>
      </c>
      <c r="L25" s="12">
        <f>Rates!L25/Rates!L$22</f>
        <v>0.9735449735449736</v>
      </c>
      <c r="M25" s="12">
        <f>Rates!M25/Rates!M$22</f>
        <v>1</v>
      </c>
      <c r="N25" s="12">
        <f>Rates!N25/Rates!N$22</f>
        <v>0.95384615384615379</v>
      </c>
      <c r="O25" s="12">
        <f>Rates!O25/Rates!O$22</f>
        <v>0.96987951807228923</v>
      </c>
      <c r="P25" s="12">
        <f>Rates!P25/Rates!P$22</f>
        <v>0.98395721925133683</v>
      </c>
      <c r="Q25" s="12">
        <f>Rates!Q25</f>
        <v>0.67</v>
      </c>
      <c r="R25" s="12">
        <f>Rates!R25</f>
        <v>0.81399999999999995</v>
      </c>
      <c r="S25" s="12">
        <f>Rates!S25</f>
        <v>0.90400000000000003</v>
      </c>
    </row>
    <row r="26" spans="1:19" x14ac:dyDescent="0.25">
      <c r="A26" s="3">
        <v>2054</v>
      </c>
      <c r="B26" s="12">
        <f>Rates!B26/Rates!B$22</f>
        <v>0.81481481481481477</v>
      </c>
      <c r="C26" s="12">
        <f>Rates!C26/Rates!C$22</f>
        <v>0.96999999999999975</v>
      </c>
      <c r="D26" s="12">
        <f>Rates!D26/Rates!D$22</f>
        <v>1</v>
      </c>
      <c r="E26" s="12">
        <f>Rates!E26/Rates!E$22</f>
        <v>0.8666666666666667</v>
      </c>
      <c r="F26" s="12">
        <f>Rates!F26/Rates!F$22</f>
        <v>0.93684210526315781</v>
      </c>
      <c r="G26" s="12">
        <f>Rates!G26/Rates!G$22</f>
        <v>0.9826086956521739</v>
      </c>
      <c r="H26" s="12">
        <f>Rates!H26/Rates!H$22</f>
        <v>0.891891891891892</v>
      </c>
      <c r="I26" s="12">
        <f>Rates!I26/Rates!I$22</f>
        <v>0.92881330846837284</v>
      </c>
      <c r="J26" s="12">
        <f>Rates!J26/Rates!J$22</f>
        <v>0.95294117647058829</v>
      </c>
      <c r="K26" s="12">
        <f>Rates!K26/Rates!K$22</f>
        <v>1</v>
      </c>
      <c r="L26" s="12">
        <f>Rates!L26/Rates!L$22</f>
        <v>0.96296296296296302</v>
      </c>
      <c r="M26" s="12">
        <f>Rates!M26/Rates!M$22</f>
        <v>1</v>
      </c>
      <c r="N26" s="12">
        <f>Rates!N26/Rates!N$22</f>
        <v>0.93846153846153846</v>
      </c>
      <c r="O26" s="12">
        <f>Rates!O26/Rates!O$22</f>
        <v>0.96385542168674709</v>
      </c>
      <c r="P26" s="12">
        <f>Rates!P26/Rates!P$22</f>
        <v>0.97860962566844922</v>
      </c>
      <c r="Q26" s="12">
        <f>Rates!Q26</f>
        <v>0.66</v>
      </c>
      <c r="R26" s="12">
        <f>Rates!R26</f>
        <v>0.81200000000000006</v>
      </c>
      <c r="S26" s="12">
        <f>Rates!S26</f>
        <v>0.90200000000000002</v>
      </c>
    </row>
    <row r="27" spans="1:19" x14ac:dyDescent="0.25">
      <c r="A27" s="3">
        <v>2055</v>
      </c>
      <c r="B27" s="12">
        <f>Rates!B27/Rates!B$22</f>
        <v>0.79012345679012341</v>
      </c>
      <c r="C27" s="12">
        <f>Rates!C27/Rates!C$22</f>
        <v>0.96666666666666645</v>
      </c>
      <c r="D27" s="12">
        <f>Rates!D27/Rates!D$22</f>
        <v>1</v>
      </c>
      <c r="E27" s="12">
        <f>Rates!E27/Rates!E$22</f>
        <v>0.83333333333333337</v>
      </c>
      <c r="F27" s="12">
        <f>Rates!F27/Rates!F$22</f>
        <v>0.92105263157894757</v>
      </c>
      <c r="G27" s="12">
        <f>Rates!G27/Rates!G$22</f>
        <v>0.97826086956521752</v>
      </c>
      <c r="H27" s="12">
        <f>Rates!H27/Rates!H$22</f>
        <v>0.8783783783783784</v>
      </c>
      <c r="I27" s="12">
        <f>Rates!I27/Rates!I$22</f>
        <v>0.91626177727285418</v>
      </c>
      <c r="J27" s="12">
        <f>Rates!J27/Rates!J$22</f>
        <v>0.94117647058823539</v>
      </c>
      <c r="K27" s="12">
        <f>Rates!K27/Rates!K$22</f>
        <v>1</v>
      </c>
      <c r="L27" s="12">
        <f>Rates!L27/Rates!L$22</f>
        <v>0.95238095238095244</v>
      </c>
      <c r="M27" s="12">
        <f>Rates!M27/Rates!M$22</f>
        <v>0.99786096256684487</v>
      </c>
      <c r="N27" s="12">
        <f>Rates!N27/Rates!N$22</f>
        <v>0.92307692307692302</v>
      </c>
      <c r="O27" s="12">
        <f>Rates!O27/Rates!O$22</f>
        <v>0.95180722891566272</v>
      </c>
      <c r="P27" s="12">
        <f>Rates!P27/Rates!P$22</f>
        <v>0.9732620320855615</v>
      </c>
      <c r="Q27" s="12">
        <f>Rates!Q27</f>
        <v>0.65</v>
      </c>
      <c r="R27" s="12">
        <f>Rates!R27</f>
        <v>0.81</v>
      </c>
      <c r="S27" s="12">
        <f>Rates!S27</f>
        <v>0.9</v>
      </c>
    </row>
    <row r="28" spans="1:19" x14ac:dyDescent="0.25">
      <c r="A28" s="3">
        <v>2056</v>
      </c>
      <c r="B28" s="12">
        <f>Rates!B28/Rates!B$22</f>
        <v>0.77777777777777768</v>
      </c>
      <c r="C28" s="12">
        <f>Rates!C28/Rates!C$22</f>
        <v>0.95833333333333315</v>
      </c>
      <c r="D28" s="12">
        <f>Rates!D28/Rates!D$22</f>
        <v>1</v>
      </c>
      <c r="E28" s="12">
        <f>Rates!E28/Rates!E$22</f>
        <v>0.83333333333333337</v>
      </c>
      <c r="F28" s="12">
        <f>Rates!F28/Rates!F$22</f>
        <v>0.92105263157894757</v>
      </c>
      <c r="G28" s="12">
        <f>Rates!G28/Rates!G$22</f>
        <v>0.97826086956521752</v>
      </c>
      <c r="H28" s="12">
        <f>Rates!H28/Rates!H$22</f>
        <v>0.87567567567567572</v>
      </c>
      <c r="I28" s="12">
        <f>Rates!I28/Rates!I$22</f>
        <v>0.91375147103375054</v>
      </c>
      <c r="J28" s="12">
        <f>Rates!J28/Rates!J$22</f>
        <v>0.94117647058823539</v>
      </c>
      <c r="K28" s="12">
        <f>Rates!K28/Rates!K$22</f>
        <v>1</v>
      </c>
      <c r="L28" s="12">
        <f>Rates!L28/Rates!L$22</f>
        <v>0.95238095238095244</v>
      </c>
      <c r="M28" s="12">
        <f>Rates!M28/Rates!M$22</f>
        <v>0.99786096256684487</v>
      </c>
      <c r="N28" s="12">
        <f>Rates!N28/Rates!N$22</f>
        <v>0.90769230769230758</v>
      </c>
      <c r="O28" s="12">
        <f>Rates!O28/Rates!O$22</f>
        <v>0.93975903614457834</v>
      </c>
      <c r="P28" s="12">
        <f>Rates!P28/Rates!P$22</f>
        <v>0.97112299465240637</v>
      </c>
      <c r="Q28" s="12">
        <f>Rates!Q28</f>
        <v>0.64</v>
      </c>
      <c r="R28" s="12">
        <f>Rates!R28</f>
        <v>0.80900000000000005</v>
      </c>
      <c r="S28" s="12">
        <f>Rates!S28</f>
        <v>0.9</v>
      </c>
    </row>
    <row r="29" spans="1:19" x14ac:dyDescent="0.25">
      <c r="A29" s="3">
        <v>2057</v>
      </c>
      <c r="B29" s="12">
        <f>Rates!B29/Rates!B$22</f>
        <v>0.76543209876543206</v>
      </c>
      <c r="C29" s="12">
        <f>Rates!C29/Rates!C$22</f>
        <v>0.94999999999999973</v>
      </c>
      <c r="D29" s="12">
        <f>Rates!D29/Rates!D$22</f>
        <v>1</v>
      </c>
      <c r="E29" s="12">
        <f>Rates!E29/Rates!E$22</f>
        <v>0.83333333333333337</v>
      </c>
      <c r="F29" s="12">
        <f>Rates!F29/Rates!F$22</f>
        <v>0.92105263157894757</v>
      </c>
      <c r="G29" s="12">
        <f>Rates!G29/Rates!G$22</f>
        <v>0.97826086956521752</v>
      </c>
      <c r="H29" s="12">
        <f>Rates!H29/Rates!H$22</f>
        <v>0.87297297297297305</v>
      </c>
      <c r="I29" s="12">
        <f>Rates!I29/Rates!I$22</f>
        <v>0.91124116479464679</v>
      </c>
      <c r="J29" s="12">
        <f>Rates!J29/Rates!J$22</f>
        <v>0.94117647058823539</v>
      </c>
      <c r="K29" s="12">
        <f>Rates!K29/Rates!K$22</f>
        <v>1</v>
      </c>
      <c r="L29" s="12">
        <f>Rates!L29/Rates!L$22</f>
        <v>0.95238095238095244</v>
      </c>
      <c r="M29" s="12">
        <f>Rates!M29/Rates!M$22</f>
        <v>0.99786096256684487</v>
      </c>
      <c r="N29" s="12">
        <f>Rates!N29/Rates!N$22</f>
        <v>0.89230769230769225</v>
      </c>
      <c r="O29" s="12">
        <f>Rates!O29/Rates!O$22</f>
        <v>0.93373493975903621</v>
      </c>
      <c r="P29" s="12">
        <f>Rates!P29/Rates!P$22</f>
        <v>0.96898395721925135</v>
      </c>
      <c r="Q29" s="12">
        <f>Rates!Q29</f>
        <v>0.63</v>
      </c>
      <c r="R29" s="12">
        <f>Rates!R29</f>
        <v>0.80800000000000005</v>
      </c>
      <c r="S29" s="12">
        <f>Rates!S29</f>
        <v>0.9</v>
      </c>
    </row>
    <row r="30" spans="1:19" x14ac:dyDescent="0.25">
      <c r="A30" s="3">
        <v>2058</v>
      </c>
      <c r="B30" s="12">
        <f>Rates!B30/Rates!B$22</f>
        <v>0.75308641975308632</v>
      </c>
      <c r="C30" s="12">
        <f>Rates!C30/Rates!C$22</f>
        <v>0.94166666666666643</v>
      </c>
      <c r="D30" s="12">
        <f>Rates!D30/Rates!D$22</f>
        <v>1</v>
      </c>
      <c r="E30" s="12">
        <f>Rates!E30/Rates!E$22</f>
        <v>0.83333333333333337</v>
      </c>
      <c r="F30" s="12">
        <f>Rates!F30/Rates!F$22</f>
        <v>0.92105263157894757</v>
      </c>
      <c r="G30" s="12">
        <f>Rates!G30/Rates!G$22</f>
        <v>0.97826086956521752</v>
      </c>
      <c r="H30" s="12">
        <f>Rates!H30/Rates!H$22</f>
        <v>0.87027027027027026</v>
      </c>
      <c r="I30" s="12">
        <f>Rates!I30/Rates!I$22</f>
        <v>0.90873085855554314</v>
      </c>
      <c r="J30" s="12">
        <f>Rates!J30/Rates!J$22</f>
        <v>0.94117647058823539</v>
      </c>
      <c r="K30" s="12">
        <f>Rates!K30/Rates!K$22</f>
        <v>1</v>
      </c>
      <c r="L30" s="12">
        <f>Rates!L30/Rates!L$22</f>
        <v>0.95238095238095244</v>
      </c>
      <c r="M30" s="12">
        <f>Rates!M30/Rates!M$22</f>
        <v>0.99786096256684487</v>
      </c>
      <c r="N30" s="12">
        <f>Rates!N30/Rates!N$22</f>
        <v>0.87692307692307681</v>
      </c>
      <c r="O30" s="12">
        <f>Rates!O30/Rates!O$22</f>
        <v>0.92771084337349408</v>
      </c>
      <c r="P30" s="12">
        <f>Rates!P30/Rates!P$22</f>
        <v>0.96684491978609621</v>
      </c>
      <c r="Q30" s="12">
        <f>Rates!Q30</f>
        <v>0.62</v>
      </c>
      <c r="R30" s="12">
        <f>Rates!R30</f>
        <v>0.80700000000000005</v>
      </c>
      <c r="S30" s="12">
        <f>Rates!S30</f>
        <v>0.9</v>
      </c>
    </row>
    <row r="31" spans="1:19" x14ac:dyDescent="0.25">
      <c r="A31" s="3">
        <v>2059</v>
      </c>
      <c r="B31" s="12">
        <f>Rates!B31/Rates!B$22</f>
        <v>0.7456790123456789</v>
      </c>
      <c r="C31" s="12">
        <f>Rates!C31/Rates!C$22</f>
        <v>0.93666666666666665</v>
      </c>
      <c r="D31" s="12">
        <f>Rates!D31/Rates!D$22</f>
        <v>1</v>
      </c>
      <c r="E31" s="12">
        <f>Rates!E31/Rates!E$22</f>
        <v>0.83333333333333337</v>
      </c>
      <c r="F31" s="12">
        <f>Rates!F31/Rates!F$22</f>
        <v>0.92105263157894757</v>
      </c>
      <c r="G31" s="12">
        <f>Rates!G31/Rates!G$22</f>
        <v>0.97826086956521752</v>
      </c>
      <c r="H31" s="12">
        <f>Rates!H31/Rates!H$22</f>
        <v>0.86756756756756759</v>
      </c>
      <c r="I31" s="12">
        <f>Rates!I31/Rates!I$22</f>
        <v>0.90622055231643939</v>
      </c>
      <c r="J31" s="12">
        <f>Rates!J31/Rates!J$22</f>
        <v>0.94117647058823539</v>
      </c>
      <c r="K31" s="12">
        <f>Rates!K31/Rates!K$22</f>
        <v>1</v>
      </c>
      <c r="L31" s="12">
        <f>Rates!L31/Rates!L$22</f>
        <v>0.95238095238095244</v>
      </c>
      <c r="M31" s="12">
        <f>Rates!M31/Rates!M$22</f>
        <v>0.99786096256684487</v>
      </c>
      <c r="N31" s="12">
        <f>Rates!N31/Rates!N$22</f>
        <v>0.86153846153846159</v>
      </c>
      <c r="O31" s="12">
        <f>Rates!O31/Rates!O$22</f>
        <v>0.92168674698795183</v>
      </c>
      <c r="P31" s="12">
        <f>Rates!P31/Rates!P$22</f>
        <v>0.96470588235294119</v>
      </c>
      <c r="Q31" s="12">
        <f>Rates!Q31</f>
        <v>0.61</v>
      </c>
      <c r="R31" s="12">
        <f>Rates!R31</f>
        <v>0.80600000000000005</v>
      </c>
      <c r="S31" s="12">
        <f>Rates!S31</f>
        <v>0.9</v>
      </c>
    </row>
    <row r="32" spans="1:19" x14ac:dyDescent="0.25">
      <c r="A32" s="3">
        <v>2060</v>
      </c>
      <c r="B32" s="12">
        <f>Rates!B32/Rates!B$22</f>
        <v>0.7407407407407407</v>
      </c>
      <c r="C32" s="12">
        <f>Rates!C32/Rates!C$22</f>
        <v>0.93333333333333324</v>
      </c>
      <c r="D32" s="12">
        <f>Rates!D32/Rates!D$22</f>
        <v>1</v>
      </c>
      <c r="E32" s="12">
        <f>Rates!E32/Rates!E$22</f>
        <v>0.83333333333333337</v>
      </c>
      <c r="F32" s="12">
        <f>Rates!F32/Rates!F$22</f>
        <v>0.92105263157894757</v>
      </c>
      <c r="G32" s="12">
        <f>Rates!G32/Rates!G$22</f>
        <v>0.97826086956521752</v>
      </c>
      <c r="H32" s="12">
        <f>Rates!H32/Rates!H$22</f>
        <v>0.86486486486486491</v>
      </c>
      <c r="I32" s="12">
        <f>Rates!I32/Rates!I$22</f>
        <v>0.90371024607733563</v>
      </c>
      <c r="J32" s="12">
        <f>Rates!J32/Rates!J$22</f>
        <v>0.94117647058823539</v>
      </c>
      <c r="K32" s="12">
        <f>Rates!K32/Rates!K$22</f>
        <v>1</v>
      </c>
      <c r="L32" s="12">
        <f>Rates!L32/Rates!L$22</f>
        <v>0.95238095238095244</v>
      </c>
      <c r="M32" s="12">
        <f>Rates!M32/Rates!M$22</f>
        <v>0.99679144385026741</v>
      </c>
      <c r="N32" s="12">
        <f>Rates!N32/Rates!N$22</f>
        <v>0.84615384615384615</v>
      </c>
      <c r="O32" s="12">
        <f>Rates!O32/Rates!O$22</f>
        <v>0.9156626506024097</v>
      </c>
      <c r="P32" s="12">
        <f>Rates!P32/Rates!P$22</f>
        <v>0.96256684491978606</v>
      </c>
      <c r="Q32" s="12">
        <f>Rates!Q32</f>
        <v>0.6</v>
      </c>
      <c r="R32" s="12">
        <f>Rates!R32</f>
        <v>0.80500000000000005</v>
      </c>
      <c r="S32" s="12">
        <f>Rates!S32</f>
        <v>0.9</v>
      </c>
    </row>
    <row r="33" spans="1:19" x14ac:dyDescent="0.25">
      <c r="A33" s="3">
        <v>2061</v>
      </c>
      <c r="B33" s="12">
        <f>Rates!B33/Rates!B$22</f>
        <v>0.73580246913580238</v>
      </c>
      <c r="C33" s="12">
        <f>Rates!C33/Rates!C$22</f>
        <v>0.92999999999999994</v>
      </c>
      <c r="D33" s="12">
        <f>Rates!D33/Rates!D$22</f>
        <v>1</v>
      </c>
      <c r="E33" s="12">
        <f>Rates!E33/Rates!E$22</f>
        <v>0.83333333333333337</v>
      </c>
      <c r="F33" s="12">
        <f>Rates!F33/Rates!F$22</f>
        <v>0.92105263157894757</v>
      </c>
      <c r="G33" s="12">
        <f>Rates!G33/Rates!G$22</f>
        <v>0.97826086956521752</v>
      </c>
      <c r="H33" s="12">
        <f>Rates!H33/Rates!H$22</f>
        <v>0.85810810810810811</v>
      </c>
      <c r="I33" s="12">
        <f>Rates!I33/Rates!I$22</f>
        <v>0.90119993983823199</v>
      </c>
      <c r="J33" s="12">
        <f>Rates!J33/Rates!J$22</f>
        <v>0.94117647058823539</v>
      </c>
      <c r="K33" s="12">
        <f>Rates!K33/Rates!K$22</f>
        <v>1</v>
      </c>
      <c r="L33" s="12">
        <f>Rates!L33/Rates!L$22</f>
        <v>0.95238095238095244</v>
      </c>
      <c r="M33" s="12">
        <f>Rates!M33/Rates!M$22</f>
        <v>0.99679144385026741</v>
      </c>
      <c r="N33" s="12">
        <f>Rates!N33/Rates!N$22</f>
        <v>0.83076923076923082</v>
      </c>
      <c r="O33" s="12">
        <f>Rates!O33/Rates!O$22</f>
        <v>0.91325301204819287</v>
      </c>
      <c r="P33" s="12">
        <f>Rates!P33/Rates!P$22</f>
        <v>0.96256684491978606</v>
      </c>
      <c r="Q33" s="12">
        <f>Rates!Q33</f>
        <v>0.59</v>
      </c>
      <c r="R33" s="12">
        <f>Rates!R33</f>
        <v>0.80400000000000005</v>
      </c>
      <c r="S33" s="12">
        <f>Rates!S33</f>
        <v>0.9</v>
      </c>
    </row>
    <row r="34" spans="1:19" x14ac:dyDescent="0.25">
      <c r="A34" s="3">
        <v>2062</v>
      </c>
      <c r="B34" s="12">
        <f>Rates!B34/Rates!B$22</f>
        <v>0.73086419753086407</v>
      </c>
      <c r="C34" s="12">
        <f>Rates!C34/Rates!C$22</f>
        <v>0.92666666666666664</v>
      </c>
      <c r="D34" s="12">
        <f>Rates!D34/Rates!D$22</f>
        <v>1</v>
      </c>
      <c r="E34" s="12">
        <f>Rates!E34/Rates!E$22</f>
        <v>0.83333333333333337</v>
      </c>
      <c r="F34" s="12">
        <f>Rates!F34/Rates!F$22</f>
        <v>0.92105263157894757</v>
      </c>
      <c r="G34" s="12">
        <f>Rates!G34/Rates!G$22</f>
        <v>0.97826086956521752</v>
      </c>
      <c r="H34" s="12">
        <f>Rates!H34/Rates!H$22</f>
        <v>0.85135135135135132</v>
      </c>
      <c r="I34" s="12">
        <f>Rates!I34/Rates!I$22</f>
        <v>0.89868963359912823</v>
      </c>
      <c r="J34" s="12">
        <f>Rates!J34/Rates!J$22</f>
        <v>0.94117647058823539</v>
      </c>
      <c r="K34" s="12">
        <f>Rates!K34/Rates!K$22</f>
        <v>1</v>
      </c>
      <c r="L34" s="12">
        <f>Rates!L34/Rates!L$22</f>
        <v>0.95238095238095244</v>
      </c>
      <c r="M34" s="12">
        <f>Rates!M34/Rates!M$22</f>
        <v>0.99679144385026741</v>
      </c>
      <c r="N34" s="12">
        <f>Rates!N34/Rates!N$22</f>
        <v>0.81538461538461537</v>
      </c>
      <c r="O34" s="12">
        <f>Rates!O34/Rates!O$22</f>
        <v>0.91084337349397593</v>
      </c>
      <c r="P34" s="12">
        <f>Rates!P34/Rates!P$22</f>
        <v>0.96256684491978606</v>
      </c>
      <c r="Q34" s="12">
        <f>Rates!Q34</f>
        <v>0.57999999999999996</v>
      </c>
      <c r="R34" s="12">
        <f>Rates!R34</f>
        <v>0.80349999999999999</v>
      </c>
      <c r="S34" s="12">
        <f>Rates!S34</f>
        <v>0.9</v>
      </c>
    </row>
    <row r="35" spans="1:19" x14ac:dyDescent="0.25">
      <c r="A35" s="3">
        <v>2063</v>
      </c>
      <c r="B35" s="12">
        <f>Rates!B35/Rates!B$22</f>
        <v>0.72592592592592586</v>
      </c>
      <c r="C35" s="12">
        <f>Rates!C35/Rates!C$22</f>
        <v>0.92333333333333323</v>
      </c>
      <c r="D35" s="12">
        <f>Rates!D35/Rates!D$22</f>
        <v>1</v>
      </c>
      <c r="E35" s="12">
        <f>Rates!E35/Rates!E$22</f>
        <v>0.83333333333333337</v>
      </c>
      <c r="F35" s="12">
        <f>Rates!F35/Rates!F$22</f>
        <v>0.92105263157894757</v>
      </c>
      <c r="G35" s="12">
        <f>Rates!G35/Rates!G$22</f>
        <v>0.97826086956521752</v>
      </c>
      <c r="H35" s="12">
        <f>Rates!H35/Rates!H$22</f>
        <v>0.84459459459459463</v>
      </c>
      <c r="I35" s="12">
        <f>Rates!I35/Rates!I$22</f>
        <v>0.89617932736002448</v>
      </c>
      <c r="J35" s="12">
        <f>Rates!J35/Rates!J$22</f>
        <v>0.94117647058823539</v>
      </c>
      <c r="K35" s="12">
        <f>Rates!K35/Rates!K$22</f>
        <v>1</v>
      </c>
      <c r="L35" s="12">
        <f>Rates!L35/Rates!L$22</f>
        <v>0.95238095238095244</v>
      </c>
      <c r="M35" s="12">
        <f>Rates!M35/Rates!M$22</f>
        <v>0.99679144385026741</v>
      </c>
      <c r="N35" s="12">
        <f>Rates!N35/Rates!N$22</f>
        <v>0.8</v>
      </c>
      <c r="O35" s="12">
        <f>Rates!O35/Rates!O$22</f>
        <v>0.9084337349397591</v>
      </c>
      <c r="P35" s="12">
        <f>Rates!P35/Rates!P$22</f>
        <v>0.96256684491978606</v>
      </c>
      <c r="Q35" s="12">
        <f>Rates!Q35</f>
        <v>0.56999999999999995</v>
      </c>
      <c r="R35" s="12">
        <f>Rates!R35</f>
        <v>0.80300000000000005</v>
      </c>
      <c r="S35" s="12">
        <f>Rates!S35</f>
        <v>0.9</v>
      </c>
    </row>
    <row r="36" spans="1:19" x14ac:dyDescent="0.25">
      <c r="A36" s="3">
        <v>2064</v>
      </c>
      <c r="B36" s="12">
        <f>Rates!B36/Rates!B$22</f>
        <v>0.72098765432098755</v>
      </c>
      <c r="C36" s="12">
        <f>Rates!C36/Rates!C$22</f>
        <v>0.91999999999999993</v>
      </c>
      <c r="D36" s="12">
        <f>Rates!D36/Rates!D$22</f>
        <v>1</v>
      </c>
      <c r="E36" s="12">
        <f>Rates!E36/Rates!E$22</f>
        <v>0.83333333333333337</v>
      </c>
      <c r="F36" s="12">
        <f>Rates!F36/Rates!F$22</f>
        <v>0.92105263157894757</v>
      </c>
      <c r="G36" s="12">
        <f>Rates!G36/Rates!G$22</f>
        <v>0.97826086956521752</v>
      </c>
      <c r="H36" s="12">
        <f>Rates!H36/Rates!H$22</f>
        <v>0.8405405405405405</v>
      </c>
      <c r="I36" s="12">
        <f>Rates!I36/Rates!I$22</f>
        <v>0.89366902112092084</v>
      </c>
      <c r="J36" s="12">
        <f>Rates!J36/Rates!J$22</f>
        <v>0.94117647058823539</v>
      </c>
      <c r="K36" s="12">
        <f>Rates!K36/Rates!K$22</f>
        <v>1</v>
      </c>
      <c r="L36" s="12">
        <f>Rates!L36/Rates!L$22</f>
        <v>0.95238095238095244</v>
      </c>
      <c r="M36" s="12">
        <f>Rates!M36/Rates!M$22</f>
        <v>0.99679144385026741</v>
      </c>
      <c r="N36" s="12">
        <f>Rates!N36/Rates!N$22</f>
        <v>0.7846153846153846</v>
      </c>
      <c r="O36" s="12">
        <f>Rates!O36/Rates!O$22</f>
        <v>0.90602409638554227</v>
      </c>
      <c r="P36" s="12">
        <f>Rates!P36/Rates!P$22</f>
        <v>0.96256684491978606</v>
      </c>
      <c r="Q36" s="12">
        <f>Rates!Q36</f>
        <v>0.56000000000000005</v>
      </c>
      <c r="R36" s="12">
        <f>Rates!R36</f>
        <v>0.80249999999999999</v>
      </c>
      <c r="S36" s="12">
        <f>Rates!S36</f>
        <v>0.9</v>
      </c>
    </row>
    <row r="37" spans="1:19" x14ac:dyDescent="0.25">
      <c r="A37" s="3">
        <v>2065</v>
      </c>
      <c r="B37" s="12">
        <f>Rates!B37/Rates!B$22</f>
        <v>0.71604938271604923</v>
      </c>
      <c r="C37" s="12">
        <f>Rates!C37/Rates!C$22</f>
        <v>0.91666666666666663</v>
      </c>
      <c r="D37" s="12">
        <f>Rates!D37/Rates!D$22</f>
        <v>1</v>
      </c>
      <c r="E37" s="12">
        <f>Rates!E37/Rates!E$22</f>
        <v>0.83333333333333337</v>
      </c>
      <c r="F37" s="12">
        <f>Rates!F37/Rates!F$22</f>
        <v>0.92105263157894757</v>
      </c>
      <c r="G37" s="12">
        <f>Rates!G37/Rates!G$22</f>
        <v>0.97826086956521752</v>
      </c>
      <c r="H37" s="12">
        <f>Rates!H37/Rates!H$22</f>
        <v>0.83783783783783783</v>
      </c>
      <c r="I37" s="12">
        <f>Rates!I37/Rates!I$22</f>
        <v>0.89115871488181708</v>
      </c>
      <c r="J37" s="12">
        <f>Rates!J37/Rates!J$22</f>
        <v>0.94117647058823539</v>
      </c>
      <c r="K37" s="12">
        <f>Rates!K37/Rates!K$22</f>
        <v>1</v>
      </c>
      <c r="L37" s="12">
        <f>Rates!L37/Rates!L$22</f>
        <v>0.95238095238095244</v>
      </c>
      <c r="M37" s="12">
        <f>Rates!M37/Rates!M$22</f>
        <v>0.99572192513368984</v>
      </c>
      <c r="N37" s="12">
        <f>Rates!N37/Rates!N$22</f>
        <v>0.76923076923076916</v>
      </c>
      <c r="O37" s="12">
        <f>Rates!O37/Rates!O$22</f>
        <v>0.90361445783132532</v>
      </c>
      <c r="P37" s="12">
        <f>Rates!P37/Rates!P$22</f>
        <v>0.96256684491978606</v>
      </c>
      <c r="Q37" s="12">
        <f>Rates!Q37</f>
        <v>0.55000000000000004</v>
      </c>
      <c r="R37" s="12">
        <f>Rates!R37</f>
        <v>0.80200000000000005</v>
      </c>
      <c r="S37" s="12">
        <f>Rates!S37</f>
        <v>0.9</v>
      </c>
    </row>
    <row r="38" spans="1:19" x14ac:dyDescent="0.25">
      <c r="A38" s="3">
        <v>2066</v>
      </c>
      <c r="B38" s="12">
        <f>Rates!B38/Rates!B$22</f>
        <v>0.71111111111111103</v>
      </c>
      <c r="C38" s="12">
        <f>Rates!C38/Rates!C$22</f>
        <v>0.91666666666666663</v>
      </c>
      <c r="D38" s="12">
        <f>Rates!D38/Rates!D$22</f>
        <v>1</v>
      </c>
      <c r="E38" s="12">
        <f>Rates!E38/Rates!E$22</f>
        <v>0.83333333333333337</v>
      </c>
      <c r="F38" s="12">
        <f>Rates!F38/Rates!F$22</f>
        <v>0.92105263157894757</v>
      </c>
      <c r="G38" s="12">
        <f>Rates!G38/Rates!G$22</f>
        <v>0.97826086956521752</v>
      </c>
      <c r="H38" s="12">
        <f>Rates!H38/Rates!H$22</f>
        <v>0.83513513513513515</v>
      </c>
      <c r="I38" s="12">
        <f>Rates!I38/Rates!I$22</f>
        <v>0.89115871488181708</v>
      </c>
      <c r="J38" s="12">
        <f>Rates!J38/Rates!J$22</f>
        <v>0.94117647058823539</v>
      </c>
      <c r="K38" s="12">
        <f>Rates!K38/Rates!K$22</f>
        <v>1</v>
      </c>
      <c r="L38" s="12">
        <f>Rates!L38/Rates!L$22</f>
        <v>0.95026455026455037</v>
      </c>
      <c r="M38" s="12">
        <f>Rates!M38/Rates!M$22</f>
        <v>0.99572192513368984</v>
      </c>
      <c r="N38" s="12">
        <f>Rates!N38/Rates!N$22</f>
        <v>0.76923076923076916</v>
      </c>
      <c r="O38" s="12">
        <f>Rates!O38/Rates!O$22</f>
        <v>0.90361445783132532</v>
      </c>
      <c r="P38" s="12">
        <f>Rates!P38/Rates!P$22</f>
        <v>0.96256684491978606</v>
      </c>
      <c r="Q38" s="12">
        <f>Rates!Q38</f>
        <v>0.54</v>
      </c>
      <c r="R38" s="12">
        <f>Rates!R38</f>
        <v>0.80179999999999996</v>
      </c>
      <c r="S38" s="12">
        <f>Rates!S38</f>
        <v>0.9</v>
      </c>
    </row>
    <row r="39" spans="1:19" x14ac:dyDescent="0.25">
      <c r="A39" s="3">
        <v>2067</v>
      </c>
      <c r="B39" s="12">
        <f>Rates!B39/Rates!B$22</f>
        <v>0.70617283950617271</v>
      </c>
      <c r="C39" s="12">
        <f>Rates!C39/Rates!C$22</f>
        <v>0.91666666666666663</v>
      </c>
      <c r="D39" s="12">
        <f>Rates!D39/Rates!D$22</f>
        <v>1</v>
      </c>
      <c r="E39" s="12">
        <f>Rates!E39/Rates!E$22</f>
        <v>0.83333333333333337</v>
      </c>
      <c r="F39" s="12">
        <f>Rates!F39/Rates!F$22</f>
        <v>0.92105263157894757</v>
      </c>
      <c r="G39" s="12">
        <f>Rates!G39/Rates!G$22</f>
        <v>0.97826086956521752</v>
      </c>
      <c r="H39" s="12">
        <f>Rates!H39/Rates!H$22</f>
        <v>0.83243243243243248</v>
      </c>
      <c r="I39" s="12">
        <f>Rates!I39/Rates!I$22</f>
        <v>0.89115871488181708</v>
      </c>
      <c r="J39" s="12">
        <f>Rates!J39/Rates!J$22</f>
        <v>0.94117647058823539</v>
      </c>
      <c r="K39" s="12">
        <f>Rates!K39/Rates!K$22</f>
        <v>1</v>
      </c>
      <c r="L39" s="12">
        <f>Rates!L39/Rates!L$22</f>
        <v>0.94814814814814818</v>
      </c>
      <c r="M39" s="12">
        <f>Rates!M39/Rates!M$22</f>
        <v>0.99572192513368984</v>
      </c>
      <c r="N39" s="12">
        <f>Rates!N39/Rates!N$22</f>
        <v>0.76923076923076916</v>
      </c>
      <c r="O39" s="12">
        <f>Rates!O39/Rates!O$22</f>
        <v>0.90361445783132532</v>
      </c>
      <c r="P39" s="12">
        <f>Rates!P39/Rates!P$22</f>
        <v>0.96256684491978606</v>
      </c>
      <c r="Q39" s="12">
        <f>Rates!Q39</f>
        <v>0.53</v>
      </c>
      <c r="R39" s="12">
        <f>Rates!R39</f>
        <v>0.80159999999999998</v>
      </c>
      <c r="S39" s="12">
        <f>Rates!S39</f>
        <v>0.9</v>
      </c>
    </row>
    <row r="40" spans="1:19" x14ac:dyDescent="0.25">
      <c r="A40" s="3">
        <v>2068</v>
      </c>
      <c r="B40" s="12">
        <f>Rates!B40/Rates!B$22</f>
        <v>0.70123456790123451</v>
      </c>
      <c r="C40" s="12">
        <f>Rates!C40/Rates!C$22</f>
        <v>0.91666666666666663</v>
      </c>
      <c r="D40" s="12">
        <f>Rates!D40/Rates!D$22</f>
        <v>1</v>
      </c>
      <c r="E40" s="12">
        <f>Rates!E40/Rates!E$22</f>
        <v>0.83333333333333337</v>
      </c>
      <c r="F40" s="12">
        <f>Rates!F40/Rates!F$22</f>
        <v>0.92105263157894757</v>
      </c>
      <c r="G40" s="12">
        <f>Rates!G40/Rates!G$22</f>
        <v>0.97826086956521752</v>
      </c>
      <c r="H40" s="12">
        <f>Rates!H40/Rates!H$22</f>
        <v>0.82972972972972969</v>
      </c>
      <c r="I40" s="12">
        <f>Rates!I40/Rates!I$22</f>
        <v>0.89115871488181708</v>
      </c>
      <c r="J40" s="12">
        <f>Rates!J40/Rates!J$22</f>
        <v>0.94117647058823539</v>
      </c>
      <c r="K40" s="12">
        <f>Rates!K40/Rates!K$22</f>
        <v>1</v>
      </c>
      <c r="L40" s="12">
        <f>Rates!L40/Rates!L$22</f>
        <v>0.94603174603174611</v>
      </c>
      <c r="M40" s="12">
        <f>Rates!M40/Rates!M$22</f>
        <v>0.99572192513368984</v>
      </c>
      <c r="N40" s="12">
        <f>Rates!N40/Rates!N$22</f>
        <v>0.76923076923076916</v>
      </c>
      <c r="O40" s="12">
        <f>Rates!O40/Rates!O$22</f>
        <v>0.90361445783132532</v>
      </c>
      <c r="P40" s="12">
        <f>Rates!P40/Rates!P$22</f>
        <v>0.96256684491978606</v>
      </c>
      <c r="Q40" s="12">
        <f>Rates!Q40</f>
        <v>0.52</v>
      </c>
      <c r="R40" s="12">
        <f>Rates!R40</f>
        <v>0.8014</v>
      </c>
      <c r="S40" s="12">
        <f>Rates!S40</f>
        <v>0.9</v>
      </c>
    </row>
    <row r="41" spans="1:19" x14ac:dyDescent="0.25">
      <c r="A41" s="3">
        <v>2069</v>
      </c>
      <c r="B41" s="12">
        <f>Rates!B41/Rates!B$22</f>
        <v>0.69629629629629619</v>
      </c>
      <c r="C41" s="12">
        <f>Rates!C41/Rates!C$22</f>
        <v>0.91666666666666663</v>
      </c>
      <c r="D41" s="12">
        <f>Rates!D41/Rates!D$22</f>
        <v>1</v>
      </c>
      <c r="E41" s="12">
        <f>Rates!E41/Rates!E$22</f>
        <v>0.83333333333333337</v>
      </c>
      <c r="F41" s="12">
        <f>Rates!F41/Rates!F$22</f>
        <v>0.92105263157894757</v>
      </c>
      <c r="G41" s="12">
        <f>Rates!G41/Rates!G$22</f>
        <v>0.97826086956521752</v>
      </c>
      <c r="H41" s="12">
        <f>Rates!H41/Rates!H$22</f>
        <v>0.82702702702702702</v>
      </c>
      <c r="I41" s="12">
        <f>Rates!I41/Rates!I$22</f>
        <v>0.89115871488181708</v>
      </c>
      <c r="J41" s="12">
        <f>Rates!J41/Rates!J$22</f>
        <v>0.94117647058823539</v>
      </c>
      <c r="K41" s="12">
        <f>Rates!K41/Rates!K$22</f>
        <v>1</v>
      </c>
      <c r="L41" s="12">
        <f>Rates!L41/Rates!L$22</f>
        <v>0.94391534391534393</v>
      </c>
      <c r="M41" s="12">
        <f>Rates!M41/Rates!M$22</f>
        <v>0.99572192513368984</v>
      </c>
      <c r="N41" s="12">
        <f>Rates!N41/Rates!N$22</f>
        <v>0.76923076923076916</v>
      </c>
      <c r="O41" s="12">
        <f>Rates!O41/Rates!O$22</f>
        <v>0.90361445783132532</v>
      </c>
      <c r="P41" s="12">
        <f>Rates!P41/Rates!P$22</f>
        <v>0.96256684491978606</v>
      </c>
      <c r="Q41" s="12">
        <f>Rates!Q41</f>
        <v>0.51</v>
      </c>
      <c r="R41" s="12">
        <f>Rates!R41</f>
        <v>0.80120000000000002</v>
      </c>
      <c r="S41" s="12">
        <f>Rates!S41</f>
        <v>0.9</v>
      </c>
    </row>
    <row r="42" spans="1:19" x14ac:dyDescent="0.25">
      <c r="A42" s="3">
        <v>2070</v>
      </c>
      <c r="B42" s="12">
        <f>Rates!B42/Rates!B$22</f>
        <v>0.6913580246913581</v>
      </c>
      <c r="C42" s="12">
        <f>Rates!C42/Rates!C$22</f>
        <v>0.91666666666666663</v>
      </c>
      <c r="D42" s="12">
        <f>Rates!D42/Rates!D$22</f>
        <v>1</v>
      </c>
      <c r="E42" s="12">
        <f>Rates!E42/Rates!E$22</f>
        <v>0.83333333333333337</v>
      </c>
      <c r="F42" s="12">
        <f>Rates!F42/Rates!F$22</f>
        <v>0.92105263157894757</v>
      </c>
      <c r="G42" s="12">
        <f>Rates!G42/Rates!G$22</f>
        <v>0.97826086956521752</v>
      </c>
      <c r="H42" s="12">
        <f>Rates!H42/Rates!H$22</f>
        <v>0.82432432432432434</v>
      </c>
      <c r="I42" s="12">
        <f>Rates!I42/Rates!I$22</f>
        <v>0.89115871488181708</v>
      </c>
      <c r="J42" s="12">
        <f>Rates!J42/Rates!J$22</f>
        <v>0.94117647058823539</v>
      </c>
      <c r="K42" s="12">
        <f>Rates!K42/Rates!K$22</f>
        <v>1</v>
      </c>
      <c r="L42" s="12">
        <f>Rates!L42/Rates!L$22</f>
        <v>0.94179894179894186</v>
      </c>
      <c r="M42" s="12">
        <f>Rates!M42/Rates!M$22</f>
        <v>0.99465240641711228</v>
      </c>
      <c r="N42" s="12">
        <f>Rates!N42/Rates!N$22</f>
        <v>0.76923076923076916</v>
      </c>
      <c r="O42" s="12">
        <f>Rates!O42/Rates!O$22</f>
        <v>0.90361445783132532</v>
      </c>
      <c r="P42" s="12">
        <f>Rates!P42/Rates!P$22</f>
        <v>0.96256684491978606</v>
      </c>
      <c r="Q42" s="12">
        <f>Rates!Q42</f>
        <v>0.5</v>
      </c>
      <c r="R42" s="12">
        <f>Rates!R42</f>
        <v>0.8</v>
      </c>
      <c r="S42" s="12">
        <f>Rates!S42</f>
        <v>0.9</v>
      </c>
    </row>
    <row r="43" spans="1:19" x14ac:dyDescent="0.25">
      <c r="A43" s="3">
        <v>2071</v>
      </c>
      <c r="B43" s="12">
        <f>Rates!B43/Rates!B$22</f>
        <v>0.6913580246913581</v>
      </c>
      <c r="C43" s="12">
        <f>Rates!C43/Rates!C$22</f>
        <v>0.91666666666666663</v>
      </c>
      <c r="D43" s="12">
        <f>Rates!D43/Rates!D$22</f>
        <v>1</v>
      </c>
      <c r="E43" s="12">
        <f>Rates!E43/Rates!E$22</f>
        <v>0.83333333333333337</v>
      </c>
      <c r="F43" s="12">
        <f>Rates!F43/Rates!F$22</f>
        <v>0.92105263157894757</v>
      </c>
      <c r="G43" s="12">
        <f>Rates!G43/Rates!G$22</f>
        <v>0.97826086956521752</v>
      </c>
      <c r="H43" s="12">
        <f>Rates!H43/Rates!H$22</f>
        <v>0.82162162162162156</v>
      </c>
      <c r="I43" s="12">
        <f>Rates!I43/Rates!I$22</f>
        <v>0.88864840864271344</v>
      </c>
      <c r="J43" s="12">
        <f>Rates!J43/Rates!J$22</f>
        <v>0.94117647058823539</v>
      </c>
      <c r="K43" s="12">
        <f>Rates!K43/Rates!K$22</f>
        <v>1</v>
      </c>
      <c r="L43" s="12">
        <f>Rates!L43/Rates!L$22</f>
        <v>0.94179894179894186</v>
      </c>
      <c r="M43" s="12">
        <f>Rates!M43/Rates!M$22</f>
        <v>0.99465240641711228</v>
      </c>
      <c r="N43" s="12">
        <f>Rates!N43/Rates!N$22</f>
        <v>0.76923076923076916</v>
      </c>
      <c r="O43" s="12">
        <f>Rates!O43/Rates!O$22</f>
        <v>0.90361445783132532</v>
      </c>
      <c r="P43" s="12">
        <f>Rates!P43/Rates!P$22</f>
        <v>0.96256684491978606</v>
      </c>
      <c r="Q43" s="12">
        <f>Rates!Q43</f>
        <v>0.5</v>
      </c>
      <c r="R43" s="12">
        <f>Rates!R43</f>
        <v>0.8</v>
      </c>
      <c r="S43" s="12">
        <f>Rates!S43</f>
        <v>0.9</v>
      </c>
    </row>
    <row r="44" spans="1:19" x14ac:dyDescent="0.25">
      <c r="A44" s="3">
        <v>2072</v>
      </c>
      <c r="B44" s="12">
        <f>Rates!B44/Rates!B$22</f>
        <v>0.6913580246913581</v>
      </c>
      <c r="C44" s="12">
        <f>Rates!C44/Rates!C$22</f>
        <v>0.91666666666666663</v>
      </c>
      <c r="D44" s="12">
        <f>Rates!D44/Rates!D$22</f>
        <v>1</v>
      </c>
      <c r="E44" s="12">
        <f>Rates!E44/Rates!E$22</f>
        <v>0.83333333333333337</v>
      </c>
      <c r="F44" s="12">
        <f>Rates!F44/Rates!F$22</f>
        <v>0.92105263157894757</v>
      </c>
      <c r="G44" s="12">
        <f>Rates!G44/Rates!G$22</f>
        <v>0.97826086956521752</v>
      </c>
      <c r="H44" s="12">
        <f>Rates!H44/Rates!H$22</f>
        <v>0.81891891891891888</v>
      </c>
      <c r="I44" s="12">
        <f>Rates!I44/Rates!I$22</f>
        <v>0.88613810240360968</v>
      </c>
      <c r="J44" s="12">
        <f>Rates!J44/Rates!J$22</f>
        <v>0.94117647058823539</v>
      </c>
      <c r="K44" s="12">
        <f>Rates!K44/Rates!K$22</f>
        <v>1</v>
      </c>
      <c r="L44" s="12">
        <f>Rates!L44/Rates!L$22</f>
        <v>0.94179894179894186</v>
      </c>
      <c r="M44" s="12">
        <f>Rates!M44/Rates!M$22</f>
        <v>0.99465240641711228</v>
      </c>
      <c r="N44" s="12">
        <f>Rates!N44/Rates!N$22</f>
        <v>0.76923076923076916</v>
      </c>
      <c r="O44" s="12">
        <f>Rates!O44/Rates!O$22</f>
        <v>0.90361445783132532</v>
      </c>
      <c r="P44" s="12">
        <f>Rates!P44/Rates!P$22</f>
        <v>0.96256684491978606</v>
      </c>
      <c r="Q44" s="12">
        <f>Rates!Q44</f>
        <v>0.5</v>
      </c>
      <c r="R44" s="12">
        <f>Rates!R44</f>
        <v>0.8</v>
      </c>
      <c r="S44" s="12">
        <f>Rates!S44</f>
        <v>0.9</v>
      </c>
    </row>
    <row r="45" spans="1:19" x14ac:dyDescent="0.25">
      <c r="A45" s="3">
        <v>2073</v>
      </c>
      <c r="B45" s="12">
        <f>Rates!B45/Rates!B$22</f>
        <v>0.6913580246913581</v>
      </c>
      <c r="C45" s="12">
        <f>Rates!C45/Rates!C$22</f>
        <v>0.91666666666666663</v>
      </c>
      <c r="D45" s="12">
        <f>Rates!D45/Rates!D$22</f>
        <v>1</v>
      </c>
      <c r="E45" s="12">
        <f>Rates!E45/Rates!E$22</f>
        <v>0.83333333333333337</v>
      </c>
      <c r="F45" s="12">
        <f>Rates!F45/Rates!F$22</f>
        <v>0.92105263157894757</v>
      </c>
      <c r="G45" s="12">
        <f>Rates!G45/Rates!G$22</f>
        <v>0.97826086956521752</v>
      </c>
      <c r="H45" s="12">
        <f>Rates!H45/Rates!H$22</f>
        <v>0.81621621621621621</v>
      </c>
      <c r="I45" s="12">
        <f>Rates!I45/Rates!I$22</f>
        <v>0.88362779616450593</v>
      </c>
      <c r="J45" s="12">
        <f>Rates!J45/Rates!J$22</f>
        <v>0.94117647058823539</v>
      </c>
      <c r="K45" s="12">
        <f>Rates!K45/Rates!K$22</f>
        <v>1</v>
      </c>
      <c r="L45" s="12">
        <f>Rates!L45/Rates!L$22</f>
        <v>0.94179894179894186</v>
      </c>
      <c r="M45" s="12">
        <f>Rates!M45/Rates!M$22</f>
        <v>0.99465240641711228</v>
      </c>
      <c r="N45" s="12">
        <f>Rates!N45/Rates!N$22</f>
        <v>0.76923076923076916</v>
      </c>
      <c r="O45" s="12">
        <f>Rates!O45/Rates!O$22</f>
        <v>0.90361445783132532</v>
      </c>
      <c r="P45" s="12">
        <f>Rates!P45/Rates!P$22</f>
        <v>0.96256684491978606</v>
      </c>
      <c r="Q45" s="12">
        <f>Rates!Q45</f>
        <v>0.5</v>
      </c>
      <c r="R45" s="12">
        <f>Rates!R45</f>
        <v>0.8</v>
      </c>
      <c r="S45" s="12">
        <f>Rates!S45</f>
        <v>0.9</v>
      </c>
    </row>
    <row r="46" spans="1:19" x14ac:dyDescent="0.25">
      <c r="A46" s="3">
        <v>2074</v>
      </c>
      <c r="B46" s="12">
        <f>Rates!B46/Rates!B$22</f>
        <v>0.6913580246913581</v>
      </c>
      <c r="C46" s="12">
        <f>Rates!C46/Rates!C$22</f>
        <v>0.91666666666666663</v>
      </c>
      <c r="D46" s="12">
        <f>Rates!D46/Rates!D$22</f>
        <v>1</v>
      </c>
      <c r="E46" s="12">
        <f>Rates!E46/Rates!E$22</f>
        <v>0.83333333333333337</v>
      </c>
      <c r="F46" s="12">
        <f>Rates!F46/Rates!F$22</f>
        <v>0.92105263157894757</v>
      </c>
      <c r="G46" s="12">
        <f>Rates!G46/Rates!G$22</f>
        <v>0.97826086956521752</v>
      </c>
      <c r="H46" s="12">
        <f>Rates!H46/Rates!H$22</f>
        <v>0.81351351351351353</v>
      </c>
      <c r="I46" s="12">
        <f>Rates!I46/Rates!I$22</f>
        <v>0.88111748992540229</v>
      </c>
      <c r="J46" s="12">
        <f>Rates!J46/Rates!J$22</f>
        <v>0.94117647058823539</v>
      </c>
      <c r="K46" s="12">
        <f>Rates!K46/Rates!K$22</f>
        <v>1</v>
      </c>
      <c r="L46" s="12">
        <f>Rates!L46/Rates!L$22</f>
        <v>0.94179894179894186</v>
      </c>
      <c r="M46" s="12">
        <f>Rates!M46/Rates!M$22</f>
        <v>0.99465240641711228</v>
      </c>
      <c r="N46" s="12">
        <f>Rates!N46/Rates!N$22</f>
        <v>0.76923076923076916</v>
      </c>
      <c r="O46" s="12">
        <f>Rates!O46/Rates!O$22</f>
        <v>0.90361445783132532</v>
      </c>
      <c r="P46" s="12">
        <f>Rates!P46/Rates!P$22</f>
        <v>0.96256684491978606</v>
      </c>
      <c r="Q46" s="12">
        <f>Rates!Q46</f>
        <v>0.5</v>
      </c>
      <c r="R46" s="12">
        <f>Rates!R46</f>
        <v>0.8</v>
      </c>
      <c r="S46" s="12">
        <f>Rates!S46</f>
        <v>0.9</v>
      </c>
    </row>
    <row r="47" spans="1:19" x14ac:dyDescent="0.25">
      <c r="A47" s="3">
        <v>2075</v>
      </c>
      <c r="B47" s="12">
        <f>Rates!B47/Rates!B$22</f>
        <v>0.6913580246913581</v>
      </c>
      <c r="C47" s="12">
        <f>Rates!C47/Rates!C$22</f>
        <v>0.91666666666666663</v>
      </c>
      <c r="D47" s="12">
        <f>Rates!D47/Rates!D$22</f>
        <v>1</v>
      </c>
      <c r="E47" s="12">
        <f>Rates!E47/Rates!E$22</f>
        <v>0.83333333333333337</v>
      </c>
      <c r="F47" s="12">
        <f>Rates!F47/Rates!F$22</f>
        <v>0.92105263157894757</v>
      </c>
      <c r="G47" s="12">
        <f>Rates!G47/Rates!G$22</f>
        <v>0.97826086956521752</v>
      </c>
      <c r="H47" s="12">
        <f>Rates!H47/Rates!H$22</f>
        <v>0.81081081081081074</v>
      </c>
      <c r="I47" s="12">
        <f>Rates!I47/Rates!I$22</f>
        <v>0.87860718368629853</v>
      </c>
      <c r="J47" s="12">
        <f>Rates!J47/Rates!J$22</f>
        <v>0.94117647058823539</v>
      </c>
      <c r="K47" s="12">
        <f>Rates!K47/Rates!K$22</f>
        <v>1</v>
      </c>
      <c r="L47" s="12">
        <f>Rates!L47/Rates!L$22</f>
        <v>0.94179894179894186</v>
      </c>
      <c r="M47" s="12">
        <f>Rates!M47/Rates!M$22</f>
        <v>0.99465240641711228</v>
      </c>
      <c r="N47" s="12">
        <f>Rates!N47/Rates!N$22</f>
        <v>0.76923076923076916</v>
      </c>
      <c r="O47" s="12">
        <f>Rates!O47/Rates!O$22</f>
        <v>0.90361445783132532</v>
      </c>
      <c r="P47" s="12">
        <f>Rates!P47/Rates!P$22</f>
        <v>0.96256684491978606</v>
      </c>
      <c r="Q47" s="12">
        <f>Rates!Q47</f>
        <v>0.5</v>
      </c>
      <c r="R47" s="12">
        <f>Rates!R47</f>
        <v>0.79900000000000004</v>
      </c>
      <c r="S47" s="12">
        <f>Rates!S47</f>
        <v>0.9</v>
      </c>
    </row>
    <row r="48" spans="1:19" x14ac:dyDescent="0.25">
      <c r="A48" s="3">
        <v>2076</v>
      </c>
      <c r="B48" s="12">
        <f>Rates!B48/Rates!B$22</f>
        <v>0.6913580246913581</v>
      </c>
      <c r="C48" s="12">
        <f>Rates!C48/Rates!C$22</f>
        <v>0.91333333333333322</v>
      </c>
      <c r="D48" s="12">
        <f>Rates!D48/Rates!D$22</f>
        <v>1</v>
      </c>
      <c r="E48" s="12">
        <f>Rates!E48/Rates!E$22</f>
        <v>0.83333333333333337</v>
      </c>
      <c r="F48" s="12">
        <f>Rates!F48/Rates!F$22</f>
        <v>0.92105263157894757</v>
      </c>
      <c r="G48" s="12">
        <f>Rates!G48/Rates!G$22</f>
        <v>0.97826086956521752</v>
      </c>
      <c r="H48" s="12">
        <f>Rates!H48/Rates!H$22</f>
        <v>0.81081081081081074</v>
      </c>
      <c r="I48" s="12">
        <f>Rates!I48/Rates!I$22</f>
        <v>0.87860718368629853</v>
      </c>
      <c r="J48" s="12">
        <f>Rates!J48/Rates!J$22</f>
        <v>0.94117647058823539</v>
      </c>
      <c r="K48" s="12">
        <f>Rates!K48/Rates!K$22</f>
        <v>1</v>
      </c>
      <c r="L48" s="12">
        <f>Rates!L48/Rates!L$22</f>
        <v>0.94179894179894186</v>
      </c>
      <c r="M48" s="12">
        <f>Rates!M48/Rates!M$22</f>
        <v>0.99465240641711228</v>
      </c>
      <c r="N48" s="12">
        <f>Rates!N48/Rates!N$22</f>
        <v>0.76923076923076916</v>
      </c>
      <c r="O48" s="12">
        <f>Rates!O48/Rates!O$22</f>
        <v>0.90120481927710849</v>
      </c>
      <c r="P48" s="12">
        <f>Rates!P48/Rates!P$22</f>
        <v>0.96256684491978606</v>
      </c>
      <c r="Q48" s="12">
        <f>Rates!Q48</f>
        <v>0.5</v>
      </c>
      <c r="R48" s="12">
        <f>Rates!R48</f>
        <v>0.79900000000000004</v>
      </c>
      <c r="S48" s="12">
        <f>Rates!S48</f>
        <v>0.9</v>
      </c>
    </row>
    <row r="49" spans="1:19" x14ac:dyDescent="0.25">
      <c r="A49" s="3">
        <v>2077</v>
      </c>
      <c r="B49" s="12">
        <f>Rates!B49/Rates!B$22</f>
        <v>0.6913580246913581</v>
      </c>
      <c r="C49" s="12">
        <f>Rates!C49/Rates!C$22</f>
        <v>0.90999999999999992</v>
      </c>
      <c r="D49" s="12">
        <f>Rates!D49/Rates!D$22</f>
        <v>1</v>
      </c>
      <c r="E49" s="12">
        <f>Rates!E49/Rates!E$22</f>
        <v>0.83333333333333337</v>
      </c>
      <c r="F49" s="12">
        <f>Rates!F49/Rates!F$22</f>
        <v>0.92105263157894757</v>
      </c>
      <c r="G49" s="12">
        <f>Rates!G49/Rates!G$22</f>
        <v>0.97826086956521752</v>
      </c>
      <c r="H49" s="12">
        <f>Rates!H49/Rates!H$22</f>
        <v>0.81081081081081074</v>
      </c>
      <c r="I49" s="12">
        <f>Rates!I49/Rates!I$22</f>
        <v>0.87860718368629853</v>
      </c>
      <c r="J49" s="12">
        <f>Rates!J49/Rates!J$22</f>
        <v>0.94117647058823539</v>
      </c>
      <c r="K49" s="12">
        <f>Rates!K49/Rates!K$22</f>
        <v>1</v>
      </c>
      <c r="L49" s="12">
        <f>Rates!L49/Rates!L$22</f>
        <v>0.94179894179894186</v>
      </c>
      <c r="M49" s="12">
        <f>Rates!M49/Rates!M$22</f>
        <v>0.99465240641711228</v>
      </c>
      <c r="N49" s="12">
        <f>Rates!N49/Rates!N$22</f>
        <v>0.76923076923076916</v>
      </c>
      <c r="O49" s="12">
        <f>Rates!O49/Rates!O$22</f>
        <v>0.89879518072289155</v>
      </c>
      <c r="P49" s="12">
        <f>Rates!P49/Rates!P$22</f>
        <v>0.96256684491978606</v>
      </c>
      <c r="Q49" s="12">
        <f>Rates!Q49</f>
        <v>0.5</v>
      </c>
      <c r="R49" s="12">
        <f>Rates!R49</f>
        <v>0.79900000000000004</v>
      </c>
      <c r="S49" s="12">
        <f>Rates!S49</f>
        <v>0.9</v>
      </c>
    </row>
    <row r="50" spans="1:19" x14ac:dyDescent="0.25">
      <c r="A50" s="3">
        <v>2078</v>
      </c>
      <c r="B50" s="12">
        <f>Rates!B50/Rates!B$22</f>
        <v>0.6913580246913581</v>
      </c>
      <c r="C50" s="12">
        <f>Rates!C50/Rates!C$22</f>
        <v>0.90666666666666662</v>
      </c>
      <c r="D50" s="12">
        <f>Rates!D50/Rates!D$22</f>
        <v>1</v>
      </c>
      <c r="E50" s="12">
        <f>Rates!E50/Rates!E$22</f>
        <v>0.83333333333333337</v>
      </c>
      <c r="F50" s="12">
        <f>Rates!F50/Rates!F$22</f>
        <v>0.92105263157894757</v>
      </c>
      <c r="G50" s="12">
        <f>Rates!G50/Rates!G$22</f>
        <v>0.97826086956521752</v>
      </c>
      <c r="H50" s="12">
        <f>Rates!H50/Rates!H$22</f>
        <v>0.81081081081081074</v>
      </c>
      <c r="I50" s="12">
        <f>Rates!I50/Rates!I$22</f>
        <v>0.87860718368629853</v>
      </c>
      <c r="J50" s="12">
        <f>Rates!J50/Rates!J$22</f>
        <v>0.94117647058823539</v>
      </c>
      <c r="K50" s="12">
        <f>Rates!K50/Rates!K$22</f>
        <v>1</v>
      </c>
      <c r="L50" s="12">
        <f>Rates!L50/Rates!L$22</f>
        <v>0.94179894179894186</v>
      </c>
      <c r="M50" s="12">
        <f>Rates!M50/Rates!M$22</f>
        <v>0.99465240641711228</v>
      </c>
      <c r="N50" s="12">
        <f>Rates!N50/Rates!N$22</f>
        <v>0.76923076923076916</v>
      </c>
      <c r="O50" s="12">
        <f>Rates!O50/Rates!O$22</f>
        <v>0.89638554216867472</v>
      </c>
      <c r="P50" s="12">
        <f>Rates!P50/Rates!P$22</f>
        <v>0.96256684491978606</v>
      </c>
      <c r="Q50" s="12">
        <f>Rates!Q50</f>
        <v>0.5</v>
      </c>
      <c r="R50" s="12">
        <f>Rates!R50</f>
        <v>0.79900000000000004</v>
      </c>
      <c r="S50" s="12">
        <f>Rates!S50</f>
        <v>0.9</v>
      </c>
    </row>
    <row r="51" spans="1:19" x14ac:dyDescent="0.25">
      <c r="A51" s="3">
        <v>2079</v>
      </c>
      <c r="B51" s="12">
        <f>Rates!B51/Rates!B$22</f>
        <v>0.6913580246913581</v>
      </c>
      <c r="C51" s="12">
        <f>Rates!C51/Rates!C$22</f>
        <v>0.90333333333333321</v>
      </c>
      <c r="D51" s="12">
        <f>Rates!D51/Rates!D$22</f>
        <v>1</v>
      </c>
      <c r="E51" s="12">
        <f>Rates!E51/Rates!E$22</f>
        <v>0.83333333333333337</v>
      </c>
      <c r="F51" s="12">
        <f>Rates!F51/Rates!F$22</f>
        <v>0.92105263157894757</v>
      </c>
      <c r="G51" s="12">
        <f>Rates!G51/Rates!G$22</f>
        <v>0.97826086956521752</v>
      </c>
      <c r="H51" s="12">
        <f>Rates!H51/Rates!H$22</f>
        <v>0.81081081081081074</v>
      </c>
      <c r="I51" s="12">
        <f>Rates!I51/Rates!I$22</f>
        <v>0.87860718368629853</v>
      </c>
      <c r="J51" s="12">
        <f>Rates!J51/Rates!J$22</f>
        <v>0.94117647058823539</v>
      </c>
      <c r="K51" s="12">
        <f>Rates!K51/Rates!K$22</f>
        <v>1</v>
      </c>
      <c r="L51" s="12">
        <f>Rates!L51/Rates!L$22</f>
        <v>0.94179894179894186</v>
      </c>
      <c r="M51" s="12">
        <f>Rates!M51/Rates!M$22</f>
        <v>0.99465240641711228</v>
      </c>
      <c r="N51" s="12">
        <f>Rates!N51/Rates!N$22</f>
        <v>0.76923076923076916</v>
      </c>
      <c r="O51" s="12">
        <f>Rates!O51/Rates!O$22</f>
        <v>0.89397590361445789</v>
      </c>
      <c r="P51" s="12">
        <f>Rates!P51/Rates!P$22</f>
        <v>0.96256684491978606</v>
      </c>
      <c r="Q51" s="12">
        <f>Rates!Q51</f>
        <v>0.5</v>
      </c>
      <c r="R51" s="12">
        <f>Rates!R51</f>
        <v>0.79900000000000004</v>
      </c>
      <c r="S51" s="12">
        <f>Rates!S51</f>
        <v>0.9</v>
      </c>
    </row>
    <row r="52" spans="1:19" x14ac:dyDescent="0.25">
      <c r="A52" s="3">
        <v>2080</v>
      </c>
      <c r="B52" s="12">
        <f>Rates!B52/Rates!B$22</f>
        <v>0.6913580246913581</v>
      </c>
      <c r="C52" s="12">
        <f>Rates!C52/Rates!C$22</f>
        <v>0.89999999999999991</v>
      </c>
      <c r="D52" s="12">
        <f>Rates!D52/Rates!D$22</f>
        <v>1</v>
      </c>
      <c r="E52" s="12">
        <f>Rates!E52/Rates!E$22</f>
        <v>0.83333333333333337</v>
      </c>
      <c r="F52" s="12">
        <f>Rates!F52/Rates!F$22</f>
        <v>0.92105263157894757</v>
      </c>
      <c r="G52" s="12">
        <f>Rates!G52/Rates!G$22</f>
        <v>0.97826086956521752</v>
      </c>
      <c r="H52" s="12">
        <f>Rates!H52/Rates!H$22</f>
        <v>0.81081081081081074</v>
      </c>
      <c r="I52" s="12">
        <f>Rates!I52/Rates!I$22</f>
        <v>0.87860718368629853</v>
      </c>
      <c r="J52" s="12">
        <f>Rates!J52/Rates!J$22</f>
        <v>0.94117647058823539</v>
      </c>
      <c r="K52" s="12">
        <f>Rates!K52/Rates!K$22</f>
        <v>1</v>
      </c>
      <c r="L52" s="12">
        <f>Rates!L52/Rates!L$22</f>
        <v>0.94179894179894186</v>
      </c>
      <c r="M52" s="12">
        <f>Rates!M52/Rates!M$22</f>
        <v>0.99465240641711228</v>
      </c>
      <c r="N52" s="12">
        <f>Rates!N52/Rates!N$22</f>
        <v>0.76923076923076916</v>
      </c>
      <c r="O52" s="12">
        <f>Rates!O52/Rates!O$22</f>
        <v>0.89156626506024095</v>
      </c>
      <c r="P52" s="12">
        <f>Rates!P52/Rates!P$22</f>
        <v>0.96256684491978606</v>
      </c>
      <c r="Q52" s="12">
        <f>Rates!Q52</f>
        <v>0.5</v>
      </c>
      <c r="R52" s="12">
        <f>Rates!R52</f>
        <v>0.79900000000000004</v>
      </c>
      <c r="S52" s="12">
        <f>Rates!S52</f>
        <v>0.9</v>
      </c>
    </row>
    <row r="53" spans="1:19" x14ac:dyDescent="0.25">
      <c r="A53" s="3">
        <v>2081</v>
      </c>
      <c r="B53" s="12">
        <f>Rates!B53/Rates!B$22</f>
        <v>0.68641975308641978</v>
      </c>
      <c r="C53" s="12">
        <f>Rates!C53/Rates!C$22</f>
        <v>0.89999999999999991</v>
      </c>
      <c r="D53" s="12">
        <f>Rates!D53/Rates!D$22</f>
        <v>1</v>
      </c>
      <c r="E53" s="12">
        <f>Rates!E53/Rates!E$22</f>
        <v>0.83333333333333337</v>
      </c>
      <c r="F53" s="12">
        <f>Rates!F53/Rates!F$22</f>
        <v>0.92105263157894757</v>
      </c>
      <c r="G53" s="12">
        <f>Rates!G53/Rates!G$22</f>
        <v>0.97826086956521752</v>
      </c>
      <c r="H53" s="12">
        <f>Rates!H53/Rates!H$22</f>
        <v>0.81081081081081074</v>
      </c>
      <c r="I53" s="12">
        <f>Rates!I53/Rates!I$22</f>
        <v>0.87860718368629853</v>
      </c>
      <c r="J53" s="12">
        <f>Rates!J53/Rates!J$22</f>
        <v>0.94117647058823539</v>
      </c>
      <c r="K53" s="12">
        <f>Rates!K53/Rates!K$22</f>
        <v>1</v>
      </c>
      <c r="L53" s="12">
        <f>Rates!L53/Rates!L$22</f>
        <v>0.94179894179894186</v>
      </c>
      <c r="M53" s="12">
        <f>Rates!M53/Rates!M$22</f>
        <v>0.99465240641711228</v>
      </c>
      <c r="N53" s="12">
        <f>Rates!N53/Rates!N$22</f>
        <v>0.76923076923076916</v>
      </c>
      <c r="O53" s="12">
        <f>Rates!O53/Rates!O$22</f>
        <v>0.89156626506024095</v>
      </c>
      <c r="P53" s="12">
        <f>Rates!P53/Rates!P$22</f>
        <v>0.96256684491978606</v>
      </c>
      <c r="Q53" s="12">
        <f>Rates!Q53</f>
        <v>0.5</v>
      </c>
      <c r="R53" s="12">
        <f>Rates!R53</f>
        <v>0.79900000000000004</v>
      </c>
      <c r="S53" s="12">
        <f>Rates!S53</f>
        <v>0.9</v>
      </c>
    </row>
    <row r="54" spans="1:19" x14ac:dyDescent="0.25">
      <c r="A54" s="3">
        <v>2082</v>
      </c>
      <c r="B54" s="12">
        <f>Rates!B54/Rates!B$22</f>
        <v>0.68148148148148147</v>
      </c>
      <c r="C54" s="12">
        <f>Rates!C54/Rates!C$22</f>
        <v>0.89999999999999991</v>
      </c>
      <c r="D54" s="12">
        <f>Rates!D54/Rates!D$22</f>
        <v>1</v>
      </c>
      <c r="E54" s="12">
        <f>Rates!E54/Rates!E$22</f>
        <v>0.83333333333333337</v>
      </c>
      <c r="F54" s="12">
        <f>Rates!F54/Rates!F$22</f>
        <v>0.92105263157894757</v>
      </c>
      <c r="G54" s="12">
        <f>Rates!G54/Rates!G$22</f>
        <v>0.97826086956521752</v>
      </c>
      <c r="H54" s="12">
        <f>Rates!H54/Rates!H$22</f>
        <v>0.81081081081081074</v>
      </c>
      <c r="I54" s="12">
        <f>Rates!I54/Rates!I$22</f>
        <v>0.87860718368629853</v>
      </c>
      <c r="J54" s="12">
        <f>Rates!J54/Rates!J$22</f>
        <v>0.94117647058823539</v>
      </c>
      <c r="K54" s="12">
        <f>Rates!K54/Rates!K$22</f>
        <v>1</v>
      </c>
      <c r="L54" s="12">
        <f>Rates!L54/Rates!L$22</f>
        <v>0.94179894179894186</v>
      </c>
      <c r="M54" s="12">
        <f>Rates!M54/Rates!M$22</f>
        <v>0.99465240641711228</v>
      </c>
      <c r="N54" s="12">
        <f>Rates!N54/Rates!N$22</f>
        <v>0.76923076923076916</v>
      </c>
      <c r="O54" s="12">
        <f>Rates!O54/Rates!O$22</f>
        <v>0.89156626506024095</v>
      </c>
      <c r="P54" s="12">
        <f>Rates!P54/Rates!P$22</f>
        <v>0.96256684491978606</v>
      </c>
      <c r="Q54" s="12">
        <f>Rates!Q54</f>
        <v>0.5</v>
      </c>
      <c r="R54" s="12">
        <f>Rates!R54</f>
        <v>0.79900000000000004</v>
      </c>
      <c r="S54" s="12">
        <f>Rates!S54</f>
        <v>0.9</v>
      </c>
    </row>
    <row r="55" spans="1:19" x14ac:dyDescent="0.25">
      <c r="A55" s="3">
        <v>2083</v>
      </c>
      <c r="B55" s="12">
        <f>Rates!B55/Rates!B$22</f>
        <v>0.67654320987654326</v>
      </c>
      <c r="C55" s="12">
        <f>Rates!C55/Rates!C$22</f>
        <v>0.89999999999999991</v>
      </c>
      <c r="D55" s="12">
        <f>Rates!D55/Rates!D$22</f>
        <v>1</v>
      </c>
      <c r="E55" s="12">
        <f>Rates!E55/Rates!E$22</f>
        <v>0.83333333333333337</v>
      </c>
      <c r="F55" s="12">
        <f>Rates!F55/Rates!F$22</f>
        <v>0.92105263157894757</v>
      </c>
      <c r="G55" s="12">
        <f>Rates!G55/Rates!G$22</f>
        <v>0.97826086956521752</v>
      </c>
      <c r="H55" s="12">
        <f>Rates!H55/Rates!H$22</f>
        <v>0.81081081081081074</v>
      </c>
      <c r="I55" s="12">
        <f>Rates!I55/Rates!I$22</f>
        <v>0.87860718368629853</v>
      </c>
      <c r="J55" s="12">
        <f>Rates!J55/Rates!J$22</f>
        <v>0.94117647058823539</v>
      </c>
      <c r="K55" s="12">
        <f>Rates!K55/Rates!K$22</f>
        <v>1</v>
      </c>
      <c r="L55" s="12">
        <f>Rates!L55/Rates!L$22</f>
        <v>0.94179894179894186</v>
      </c>
      <c r="M55" s="12">
        <f>Rates!M55/Rates!M$22</f>
        <v>0.99465240641711228</v>
      </c>
      <c r="N55" s="12">
        <f>Rates!N55/Rates!N$22</f>
        <v>0.76923076923076916</v>
      </c>
      <c r="O55" s="12">
        <f>Rates!O55/Rates!O$22</f>
        <v>0.89156626506024095</v>
      </c>
      <c r="P55" s="12">
        <f>Rates!P55/Rates!P$22</f>
        <v>0.96256684491978606</v>
      </c>
      <c r="Q55" s="12">
        <f>Rates!Q55</f>
        <v>0.5</v>
      </c>
      <c r="R55" s="12">
        <f>Rates!R55</f>
        <v>0.79900000000000004</v>
      </c>
      <c r="S55" s="12">
        <f>Rates!S55</f>
        <v>0.9</v>
      </c>
    </row>
    <row r="56" spans="1:19" x14ac:dyDescent="0.25">
      <c r="A56" s="3">
        <v>2084</v>
      </c>
      <c r="B56" s="12">
        <f>Rates!B56/Rates!B$22</f>
        <v>0.67160493827160495</v>
      </c>
      <c r="C56" s="12">
        <f>Rates!C56/Rates!C$22</f>
        <v>0.89999999999999991</v>
      </c>
      <c r="D56" s="12">
        <f>Rates!D56/Rates!D$22</f>
        <v>1</v>
      </c>
      <c r="E56" s="12">
        <f>Rates!E56/Rates!E$22</f>
        <v>0.83333333333333337</v>
      </c>
      <c r="F56" s="12">
        <f>Rates!F56/Rates!F$22</f>
        <v>0.92105263157894757</v>
      </c>
      <c r="G56" s="12">
        <f>Rates!G56/Rates!G$22</f>
        <v>0.97826086956521752</v>
      </c>
      <c r="H56" s="12">
        <f>Rates!H56/Rates!H$22</f>
        <v>0.81081081081081074</v>
      </c>
      <c r="I56" s="12">
        <f>Rates!I56/Rates!I$22</f>
        <v>0.87860718368629853</v>
      </c>
      <c r="J56" s="12">
        <f>Rates!J56/Rates!J$22</f>
        <v>0.94117647058823539</v>
      </c>
      <c r="K56" s="12">
        <f>Rates!K56/Rates!K$22</f>
        <v>1</v>
      </c>
      <c r="L56" s="12">
        <f>Rates!L56/Rates!L$22</f>
        <v>0.94179894179894186</v>
      </c>
      <c r="M56" s="12">
        <f>Rates!M56/Rates!M$22</f>
        <v>0.99465240641711228</v>
      </c>
      <c r="N56" s="12">
        <f>Rates!N56/Rates!N$22</f>
        <v>0.76923076923076916</v>
      </c>
      <c r="O56" s="12">
        <f>Rates!O56/Rates!O$22</f>
        <v>0.89156626506024095</v>
      </c>
      <c r="P56" s="12">
        <f>Rates!P56/Rates!P$22</f>
        <v>0.96256684491978606</v>
      </c>
      <c r="Q56" s="12">
        <f>Rates!Q56</f>
        <v>0.5</v>
      </c>
      <c r="R56" s="12">
        <f>Rates!R56</f>
        <v>0.79900000000000004</v>
      </c>
      <c r="S56" s="12">
        <f>Rates!S56</f>
        <v>0.9</v>
      </c>
    </row>
    <row r="57" spans="1:19" x14ac:dyDescent="0.25">
      <c r="A57" s="3">
        <v>2085</v>
      </c>
      <c r="B57" s="12">
        <f>Rates!B57/Rates!B$22</f>
        <v>0.66666666666666663</v>
      </c>
      <c r="C57" s="12">
        <f>Rates!C57/Rates!C$22</f>
        <v>0.89999999999999991</v>
      </c>
      <c r="D57" s="12">
        <f>Rates!D57/Rates!D$22</f>
        <v>1</v>
      </c>
      <c r="E57" s="12">
        <f>Rates!E57/Rates!E$22</f>
        <v>0.83333333333333337</v>
      </c>
      <c r="F57" s="12">
        <f>Rates!F57/Rates!F$22</f>
        <v>0.92105263157894757</v>
      </c>
      <c r="G57" s="12">
        <f>Rates!G57/Rates!G$22</f>
        <v>0.97826086956521752</v>
      </c>
      <c r="H57" s="12">
        <f>Rates!H57/Rates!H$22</f>
        <v>0.81081081081081074</v>
      </c>
      <c r="I57" s="12">
        <f>Rates!I57/Rates!I$22</f>
        <v>0.87860718368629853</v>
      </c>
      <c r="J57" s="12">
        <f>Rates!J57/Rates!J$22</f>
        <v>0.94117647058823539</v>
      </c>
      <c r="K57" s="12">
        <f>Rates!K57/Rates!K$22</f>
        <v>1</v>
      </c>
      <c r="L57" s="12">
        <f>Rates!L57/Rates!L$22</f>
        <v>0.94179894179894186</v>
      </c>
      <c r="M57" s="12">
        <f>Rates!M57/Rates!M$22</f>
        <v>0.99465240641711228</v>
      </c>
      <c r="N57" s="12">
        <f>Rates!N57/Rates!N$22</f>
        <v>0.76923076923076916</v>
      </c>
      <c r="O57" s="12">
        <f>Rates!O57/Rates!O$22</f>
        <v>0.89156626506024095</v>
      </c>
      <c r="P57" s="12">
        <f>Rates!P57/Rates!P$22</f>
        <v>0.96256684491978606</v>
      </c>
      <c r="Q57" s="12">
        <f>Rates!Q57</f>
        <v>0.5</v>
      </c>
      <c r="R57" s="12">
        <f>Rates!R57</f>
        <v>0.79900000000000004</v>
      </c>
      <c r="S57" s="12">
        <f>Rates!S57</f>
        <v>0.9</v>
      </c>
    </row>
    <row r="58" spans="1:19" x14ac:dyDescent="0.25">
      <c r="A58" s="3">
        <v>2086</v>
      </c>
      <c r="B58" s="12">
        <f>Rates!B58/Rates!B$22</f>
        <v>0.66666666666666663</v>
      </c>
      <c r="C58" s="12">
        <f>Rates!C58/Rates!C$22</f>
        <v>0.89999999999999991</v>
      </c>
      <c r="D58" s="12">
        <f>Rates!D58/Rates!D$22</f>
        <v>1</v>
      </c>
      <c r="E58" s="12">
        <f>Rates!E58/Rates!E$22</f>
        <v>0.83333333333333337</v>
      </c>
      <c r="F58" s="12">
        <f>Rates!F58/Rates!F$22</f>
        <v>0.92105263157894757</v>
      </c>
      <c r="G58" s="12">
        <f>Rates!G58/Rates!G$22</f>
        <v>0.97826086956521752</v>
      </c>
      <c r="H58" s="12">
        <f>Rates!H58/Rates!H$22</f>
        <v>0.80810810810810807</v>
      </c>
      <c r="I58" s="12">
        <f>Rates!I58/Rates!I$22</f>
        <v>0.87860718368629853</v>
      </c>
      <c r="J58" s="12">
        <f>Rates!J58/Rates!J$22</f>
        <v>0.94117647058823539</v>
      </c>
      <c r="K58" s="12">
        <f>Rates!K58/Rates!K$22</f>
        <v>1</v>
      </c>
      <c r="L58" s="12">
        <f>Rates!L58/Rates!L$22</f>
        <v>0.94179894179894186</v>
      </c>
      <c r="M58" s="12">
        <f>Rates!M58/Rates!M$22</f>
        <v>0.99465240641711228</v>
      </c>
      <c r="N58" s="12">
        <f>Rates!N58/Rates!N$22</f>
        <v>0.76923076923076916</v>
      </c>
      <c r="O58" s="12">
        <f>Rates!O58/Rates!O$22</f>
        <v>0.89156626506024095</v>
      </c>
      <c r="P58" s="12">
        <f>Rates!P58/Rates!P$22</f>
        <v>0.96256684491978606</v>
      </c>
      <c r="Q58" s="12">
        <f>Rates!Q58</f>
        <v>0.5</v>
      </c>
      <c r="R58" s="12">
        <f>Rates!R58</f>
        <v>0.79900000000000004</v>
      </c>
      <c r="S58" s="12">
        <f>Rates!S58</f>
        <v>0.9</v>
      </c>
    </row>
    <row r="59" spans="1:19" x14ac:dyDescent="0.25">
      <c r="A59" s="3">
        <v>2087</v>
      </c>
      <c r="B59" s="12">
        <f>Rates!B59/Rates!B$22</f>
        <v>0.66666666666666663</v>
      </c>
      <c r="C59" s="12">
        <f>Rates!C59/Rates!C$22</f>
        <v>0.89999999999999991</v>
      </c>
      <c r="D59" s="12">
        <f>Rates!D59/Rates!D$22</f>
        <v>1</v>
      </c>
      <c r="E59" s="12">
        <f>Rates!E59/Rates!E$22</f>
        <v>0.83333333333333337</v>
      </c>
      <c r="F59" s="12">
        <f>Rates!F59/Rates!F$22</f>
        <v>0.92105263157894757</v>
      </c>
      <c r="G59" s="12">
        <f>Rates!G59/Rates!G$22</f>
        <v>0.97826086956521752</v>
      </c>
      <c r="H59" s="12">
        <f>Rates!H59/Rates!H$22</f>
        <v>0.80540540540540539</v>
      </c>
      <c r="I59" s="12">
        <f>Rates!I59/Rates!I$22</f>
        <v>0.87860718368629853</v>
      </c>
      <c r="J59" s="12">
        <f>Rates!J59/Rates!J$22</f>
        <v>0.94117647058823539</v>
      </c>
      <c r="K59" s="12">
        <f>Rates!K59/Rates!K$22</f>
        <v>1</v>
      </c>
      <c r="L59" s="12">
        <f>Rates!L59/Rates!L$22</f>
        <v>0.94179894179894186</v>
      </c>
      <c r="M59" s="12">
        <f>Rates!M59/Rates!M$22</f>
        <v>0.99465240641711228</v>
      </c>
      <c r="N59" s="12">
        <f>Rates!N59/Rates!N$22</f>
        <v>0.76923076923076916</v>
      </c>
      <c r="O59" s="12">
        <f>Rates!O59/Rates!O$22</f>
        <v>0.89156626506024095</v>
      </c>
      <c r="P59" s="12">
        <f>Rates!P59/Rates!P$22</f>
        <v>0.96256684491978606</v>
      </c>
      <c r="Q59" s="12">
        <f>Rates!Q59</f>
        <v>0.5</v>
      </c>
      <c r="R59" s="12">
        <f>Rates!R59</f>
        <v>0.79900000000000004</v>
      </c>
      <c r="S59" s="12">
        <f>Rates!S59</f>
        <v>0.9</v>
      </c>
    </row>
    <row r="60" spans="1:19" x14ac:dyDescent="0.25">
      <c r="A60" s="3">
        <v>2088</v>
      </c>
      <c r="B60" s="12">
        <f>Rates!B60/Rates!B$22</f>
        <v>0.66666666666666663</v>
      </c>
      <c r="C60" s="12">
        <f>Rates!C60/Rates!C$22</f>
        <v>0.89999999999999991</v>
      </c>
      <c r="D60" s="12">
        <f>Rates!D60/Rates!D$22</f>
        <v>1</v>
      </c>
      <c r="E60" s="12">
        <f>Rates!E60/Rates!E$22</f>
        <v>0.83333333333333337</v>
      </c>
      <c r="F60" s="12">
        <f>Rates!F60/Rates!F$22</f>
        <v>0.92105263157894757</v>
      </c>
      <c r="G60" s="12">
        <f>Rates!G60/Rates!G$22</f>
        <v>0.97826086956521752</v>
      </c>
      <c r="H60" s="12">
        <f>Rates!H60/Rates!H$22</f>
        <v>0.80270270270270272</v>
      </c>
      <c r="I60" s="12">
        <f>Rates!I60/Rates!I$22</f>
        <v>0.87860718368629853</v>
      </c>
      <c r="J60" s="12">
        <f>Rates!J60/Rates!J$22</f>
        <v>0.94117647058823539</v>
      </c>
      <c r="K60" s="12">
        <f>Rates!K60/Rates!K$22</f>
        <v>1</v>
      </c>
      <c r="L60" s="12">
        <f>Rates!L60/Rates!L$22</f>
        <v>0.94179894179894186</v>
      </c>
      <c r="M60" s="12">
        <f>Rates!M60/Rates!M$22</f>
        <v>0.99465240641711228</v>
      </c>
      <c r="N60" s="12">
        <f>Rates!N60/Rates!N$22</f>
        <v>0.76923076923076916</v>
      </c>
      <c r="O60" s="12">
        <f>Rates!O60/Rates!O$22</f>
        <v>0.89156626506024095</v>
      </c>
      <c r="P60" s="12">
        <f>Rates!P60/Rates!P$22</f>
        <v>0.96256684491978606</v>
      </c>
      <c r="Q60" s="12">
        <f>Rates!Q60</f>
        <v>0.5</v>
      </c>
      <c r="R60" s="12">
        <f>Rates!R60</f>
        <v>0.79900000000000004</v>
      </c>
      <c r="S60" s="12">
        <f>Rates!S60</f>
        <v>0.9</v>
      </c>
    </row>
    <row r="61" spans="1:19" x14ac:dyDescent="0.25">
      <c r="A61" s="3">
        <v>2089</v>
      </c>
      <c r="B61" s="12">
        <f>Rates!B61/Rates!B$22</f>
        <v>0.66666666666666663</v>
      </c>
      <c r="C61" s="12">
        <f>Rates!C61/Rates!C$22</f>
        <v>0.89999999999999991</v>
      </c>
      <c r="D61" s="12">
        <f>Rates!D61/Rates!D$22</f>
        <v>1</v>
      </c>
      <c r="E61" s="12">
        <f>Rates!E61/Rates!E$22</f>
        <v>0.83333333333333337</v>
      </c>
      <c r="F61" s="12">
        <f>Rates!F61/Rates!F$22</f>
        <v>0.92105263157894757</v>
      </c>
      <c r="G61" s="12">
        <f>Rates!G61/Rates!G$22</f>
        <v>0.97826086956521752</v>
      </c>
      <c r="H61" s="12">
        <f>Rates!H61/Rates!H$22</f>
        <v>0.79999999999999993</v>
      </c>
      <c r="I61" s="12">
        <f>Rates!I61/Rates!I$22</f>
        <v>0.87860718368629853</v>
      </c>
      <c r="J61" s="12">
        <f>Rates!J61/Rates!J$22</f>
        <v>0.94117647058823539</v>
      </c>
      <c r="K61" s="12">
        <f>Rates!K61/Rates!K$22</f>
        <v>1</v>
      </c>
      <c r="L61" s="12">
        <f>Rates!L61/Rates!L$22</f>
        <v>0.94179894179894186</v>
      </c>
      <c r="M61" s="12">
        <f>Rates!M61/Rates!M$22</f>
        <v>0.99465240641711228</v>
      </c>
      <c r="N61" s="12">
        <f>Rates!N61/Rates!N$22</f>
        <v>0.76923076923076916</v>
      </c>
      <c r="O61" s="12">
        <f>Rates!O61/Rates!O$22</f>
        <v>0.89156626506024095</v>
      </c>
      <c r="P61" s="12">
        <f>Rates!P61/Rates!P$22</f>
        <v>0.96256684491978606</v>
      </c>
      <c r="Q61" s="12">
        <f>Rates!Q61</f>
        <v>0.5</v>
      </c>
      <c r="R61" s="12">
        <f>Rates!R61</f>
        <v>0.79900000000000004</v>
      </c>
      <c r="S61" s="12">
        <f>Rates!S61</f>
        <v>0.9</v>
      </c>
    </row>
    <row r="62" spans="1:19" x14ac:dyDescent="0.25">
      <c r="A62" s="3">
        <v>2090</v>
      </c>
      <c r="B62" s="12">
        <f>Rates!B62/Rates!B$22</f>
        <v>0.66666666666666663</v>
      </c>
      <c r="C62" s="12">
        <f>Rates!C62/Rates!C$22</f>
        <v>0.89999999999999991</v>
      </c>
      <c r="D62" s="12">
        <f>Rates!D62/Rates!D$22</f>
        <v>1</v>
      </c>
      <c r="E62" s="12">
        <f>Rates!E62/Rates!E$22</f>
        <v>0.83333333333333337</v>
      </c>
      <c r="F62" s="12">
        <f>Rates!F62/Rates!F$22</f>
        <v>0.92105263157894757</v>
      </c>
      <c r="G62" s="12">
        <f>Rates!G62/Rates!G$22</f>
        <v>0.97826086956521752</v>
      </c>
      <c r="H62" s="12">
        <f>Rates!H62/Rates!H$22</f>
        <v>0.79729729729729726</v>
      </c>
      <c r="I62" s="12">
        <f>Rates!I62/Rates!I$22</f>
        <v>0.87860718368629853</v>
      </c>
      <c r="J62" s="12">
        <f>Rates!J62/Rates!J$22</f>
        <v>0.94117647058823539</v>
      </c>
      <c r="K62" s="12">
        <f>Rates!K62/Rates!K$22</f>
        <v>1</v>
      </c>
      <c r="L62" s="12">
        <f>Rates!L62/Rates!L$22</f>
        <v>0.94179894179894186</v>
      </c>
      <c r="M62" s="12">
        <f>Rates!M62/Rates!M$22</f>
        <v>0.99465240641711228</v>
      </c>
      <c r="N62" s="12">
        <f>Rates!N62/Rates!N$22</f>
        <v>0.76923076923076916</v>
      </c>
      <c r="O62" s="12">
        <f>Rates!O62/Rates!O$22</f>
        <v>0.89156626506024095</v>
      </c>
      <c r="P62" s="12">
        <f>Rates!P62/Rates!P$22</f>
        <v>0.96256684491978606</v>
      </c>
      <c r="Q62" s="12">
        <f>Rates!Q62</f>
        <v>0.5</v>
      </c>
      <c r="R62" s="12">
        <f>Rates!R62</f>
        <v>0.79900000000000004</v>
      </c>
      <c r="S62" s="12">
        <f>Rates!S62</f>
        <v>0.9</v>
      </c>
    </row>
    <row r="63" spans="1:19" x14ac:dyDescent="0.25">
      <c r="A63" s="3">
        <v>2091</v>
      </c>
      <c r="B63" s="12">
        <f>Rates!B63/Rates!B$22</f>
        <v>0.66666666666666663</v>
      </c>
      <c r="C63" s="12">
        <f>Rates!C63/Rates!C$22</f>
        <v>0.89999999999999991</v>
      </c>
      <c r="D63" s="12">
        <f>Rates!D63/Rates!D$22</f>
        <v>1</v>
      </c>
      <c r="E63" s="12">
        <f>Rates!E63/Rates!E$22</f>
        <v>0.83333333333333337</v>
      </c>
      <c r="F63" s="12">
        <f>Rates!F63/Rates!F$22</f>
        <v>0.92105263157894757</v>
      </c>
      <c r="G63" s="12">
        <f>Rates!G63/Rates!G$22</f>
        <v>0.97826086956521752</v>
      </c>
      <c r="H63" s="12">
        <f>Rates!H63/Rates!H$22</f>
        <v>0.79729729729729726</v>
      </c>
      <c r="I63" s="12">
        <f>Rates!I63/Rates!I$22</f>
        <v>0.87860718368629853</v>
      </c>
      <c r="J63" s="12">
        <f>Rates!J63/Rates!J$22</f>
        <v>0.94117647058823539</v>
      </c>
      <c r="K63" s="12">
        <f>Rates!K63/Rates!K$22</f>
        <v>1</v>
      </c>
      <c r="L63" s="12">
        <f>Rates!L63/Rates!L$22</f>
        <v>0.94179894179894186</v>
      </c>
      <c r="M63" s="12">
        <f>Rates!M63/Rates!M$22</f>
        <v>0.99465240641711228</v>
      </c>
      <c r="N63" s="12">
        <f>Rates!N63/Rates!N$22</f>
        <v>0.76923076923076916</v>
      </c>
      <c r="O63" s="12">
        <f>Rates!O63/Rates!O$22</f>
        <v>0.88915662650602412</v>
      </c>
      <c r="P63" s="12">
        <f>Rates!P63/Rates!P$22</f>
        <v>0.96256684491978606</v>
      </c>
      <c r="Q63" s="12">
        <f>Rates!Q63</f>
        <v>0.5</v>
      </c>
      <c r="R63" s="12">
        <f>Rates!R63</f>
        <v>0.79900000000000004</v>
      </c>
      <c r="S63" s="12">
        <f>Rates!S63</f>
        <v>0.9</v>
      </c>
    </row>
    <row r="64" spans="1:19" x14ac:dyDescent="0.25">
      <c r="A64" s="3">
        <v>2092</v>
      </c>
      <c r="B64" s="12">
        <f>Rates!B64/Rates!B$22</f>
        <v>0.66666666666666663</v>
      </c>
      <c r="C64" s="12">
        <f>Rates!C64/Rates!C$22</f>
        <v>0.89999999999999991</v>
      </c>
      <c r="D64" s="12">
        <f>Rates!D64/Rates!D$22</f>
        <v>1</v>
      </c>
      <c r="E64" s="12">
        <f>Rates!E64/Rates!E$22</f>
        <v>0.83333333333333337</v>
      </c>
      <c r="F64" s="12">
        <f>Rates!F64/Rates!F$22</f>
        <v>0.92105263157894757</v>
      </c>
      <c r="G64" s="12">
        <f>Rates!G64/Rates!G$22</f>
        <v>0.97826086956521752</v>
      </c>
      <c r="H64" s="12">
        <f>Rates!H64/Rates!H$22</f>
        <v>0.79729729729729726</v>
      </c>
      <c r="I64" s="12">
        <f>Rates!I64/Rates!I$22</f>
        <v>0.87860718368629853</v>
      </c>
      <c r="J64" s="12">
        <f>Rates!J64/Rates!J$22</f>
        <v>0.94117647058823539</v>
      </c>
      <c r="K64" s="12">
        <f>Rates!K64/Rates!K$22</f>
        <v>1</v>
      </c>
      <c r="L64" s="12">
        <f>Rates!L64/Rates!L$22</f>
        <v>0.94179894179894186</v>
      </c>
      <c r="M64" s="12">
        <f>Rates!M64/Rates!M$22</f>
        <v>0.99465240641711228</v>
      </c>
      <c r="N64" s="12">
        <f>Rates!N64/Rates!N$22</f>
        <v>0.76923076923076916</v>
      </c>
      <c r="O64" s="12">
        <f>Rates!O64/Rates!O$22</f>
        <v>0.88674698795180729</v>
      </c>
      <c r="P64" s="12">
        <f>Rates!P64/Rates!P$22</f>
        <v>0.96256684491978606</v>
      </c>
      <c r="Q64" s="12">
        <f>Rates!Q64</f>
        <v>0.5</v>
      </c>
      <c r="R64" s="12">
        <f>Rates!R64</f>
        <v>0.79900000000000004</v>
      </c>
      <c r="S64" s="12">
        <f>Rates!S64</f>
        <v>0.9</v>
      </c>
    </row>
    <row r="65" spans="1:19" x14ac:dyDescent="0.25">
      <c r="A65" s="3">
        <v>2093</v>
      </c>
      <c r="B65" s="12">
        <f>Rates!B65/Rates!B$22</f>
        <v>0.66666666666666663</v>
      </c>
      <c r="C65" s="12">
        <f>Rates!C65/Rates!C$22</f>
        <v>0.89999999999999991</v>
      </c>
      <c r="D65" s="12">
        <f>Rates!D65/Rates!D$22</f>
        <v>1</v>
      </c>
      <c r="E65" s="12">
        <f>Rates!E65/Rates!E$22</f>
        <v>0.83333333333333337</v>
      </c>
      <c r="F65" s="12">
        <f>Rates!F65/Rates!F$22</f>
        <v>0.92105263157894757</v>
      </c>
      <c r="G65" s="12">
        <f>Rates!G65/Rates!G$22</f>
        <v>0.97826086956521752</v>
      </c>
      <c r="H65" s="12">
        <f>Rates!H65/Rates!H$22</f>
        <v>0.79729729729729726</v>
      </c>
      <c r="I65" s="12">
        <f>Rates!I65/Rates!I$22</f>
        <v>0.87860718368629853</v>
      </c>
      <c r="J65" s="12">
        <f>Rates!J65/Rates!J$22</f>
        <v>0.94117647058823539</v>
      </c>
      <c r="K65" s="12">
        <f>Rates!K65/Rates!K$22</f>
        <v>1</v>
      </c>
      <c r="L65" s="12">
        <f>Rates!L65/Rates!L$22</f>
        <v>0.94179894179894186</v>
      </c>
      <c r="M65" s="12">
        <f>Rates!M65/Rates!M$22</f>
        <v>0.99465240641711228</v>
      </c>
      <c r="N65" s="12">
        <f>Rates!N65/Rates!N$22</f>
        <v>0.76923076923076916</v>
      </c>
      <c r="O65" s="12">
        <f>Rates!O65/Rates!O$22</f>
        <v>0.88433734939759034</v>
      </c>
      <c r="P65" s="12">
        <f>Rates!P65/Rates!P$22</f>
        <v>0.96256684491978606</v>
      </c>
      <c r="Q65" s="12">
        <f>Rates!Q65</f>
        <v>0.5</v>
      </c>
      <c r="R65" s="12">
        <f>Rates!R65</f>
        <v>0.79900000000000004</v>
      </c>
      <c r="S65" s="12">
        <f>Rates!S65</f>
        <v>0.9</v>
      </c>
    </row>
    <row r="66" spans="1:19" x14ac:dyDescent="0.25">
      <c r="A66" s="3">
        <v>2094</v>
      </c>
      <c r="B66" s="12">
        <f>Rates!B66/Rates!B$22</f>
        <v>0.66666666666666663</v>
      </c>
      <c r="C66" s="12">
        <f>Rates!C66/Rates!C$22</f>
        <v>0.89999999999999991</v>
      </c>
      <c r="D66" s="12">
        <f>Rates!D66/Rates!D$22</f>
        <v>1</v>
      </c>
      <c r="E66" s="12">
        <f>Rates!E66/Rates!E$22</f>
        <v>0.83333333333333337</v>
      </c>
      <c r="F66" s="12">
        <f>Rates!F66/Rates!F$22</f>
        <v>0.92105263157894757</v>
      </c>
      <c r="G66" s="12">
        <f>Rates!G66/Rates!G$22</f>
        <v>0.97826086956521752</v>
      </c>
      <c r="H66" s="12">
        <f>Rates!H66/Rates!H$22</f>
        <v>0.79729729729729726</v>
      </c>
      <c r="I66" s="12">
        <f>Rates!I66/Rates!I$22</f>
        <v>0.87860718368629853</v>
      </c>
      <c r="J66" s="12">
        <f>Rates!J66/Rates!J$22</f>
        <v>0.94117647058823539</v>
      </c>
      <c r="K66" s="12">
        <f>Rates!K66/Rates!K$22</f>
        <v>1</v>
      </c>
      <c r="L66" s="12">
        <f>Rates!L66/Rates!L$22</f>
        <v>0.94179894179894186</v>
      </c>
      <c r="M66" s="12">
        <f>Rates!M66/Rates!M$22</f>
        <v>0.99465240641711228</v>
      </c>
      <c r="N66" s="12">
        <f>Rates!N66/Rates!N$22</f>
        <v>0.76923076923076916</v>
      </c>
      <c r="O66" s="12">
        <f>Rates!O66/Rates!O$22</f>
        <v>0.88192771084337351</v>
      </c>
      <c r="P66" s="12">
        <f>Rates!P66/Rates!P$22</f>
        <v>0.96256684491978606</v>
      </c>
      <c r="Q66" s="12">
        <f>Rates!Q66</f>
        <v>0.5</v>
      </c>
      <c r="R66" s="12">
        <f>Rates!R66</f>
        <v>0.79900000000000004</v>
      </c>
      <c r="S66" s="12">
        <f>Rates!S66</f>
        <v>0.9</v>
      </c>
    </row>
    <row r="67" spans="1:19" x14ac:dyDescent="0.25">
      <c r="A67" s="3">
        <v>2095</v>
      </c>
      <c r="B67" s="12">
        <f>Rates!B67/Rates!B$22</f>
        <v>0.66666666666666663</v>
      </c>
      <c r="C67" s="12">
        <f>Rates!C67/Rates!C$22</f>
        <v>0.89999999999999991</v>
      </c>
      <c r="D67" s="12">
        <f>Rates!D67/Rates!D$22</f>
        <v>1</v>
      </c>
      <c r="E67" s="12">
        <f>Rates!E67/Rates!E$22</f>
        <v>0.83333333333333337</v>
      </c>
      <c r="F67" s="12">
        <f>Rates!F67/Rates!F$22</f>
        <v>0.92105263157894757</v>
      </c>
      <c r="G67" s="12">
        <f>Rates!G67/Rates!G$22</f>
        <v>0.97826086956521752</v>
      </c>
      <c r="H67" s="12">
        <f>Rates!H67/Rates!H$22</f>
        <v>0.79729729729729726</v>
      </c>
      <c r="I67" s="12">
        <f>Rates!I67/Rates!I$22</f>
        <v>0.87860718368629853</v>
      </c>
      <c r="J67" s="12">
        <f>Rates!J67/Rates!J$22</f>
        <v>0.94117647058823539</v>
      </c>
      <c r="K67" s="12">
        <f>Rates!K67/Rates!K$22</f>
        <v>1</v>
      </c>
      <c r="L67" s="12">
        <f>Rates!L67/Rates!L$22</f>
        <v>0.94179894179894186</v>
      </c>
      <c r="M67" s="12">
        <f>Rates!M67/Rates!M$22</f>
        <v>0.99465240641711228</v>
      </c>
      <c r="N67" s="12">
        <f>Rates!N67/Rates!N$22</f>
        <v>0.76923076923076916</v>
      </c>
      <c r="O67" s="12">
        <f>Rates!O67/Rates!O$22</f>
        <v>0.87951807228915668</v>
      </c>
      <c r="P67" s="12">
        <f>Rates!P67/Rates!P$22</f>
        <v>0.96256684491978606</v>
      </c>
      <c r="Q67" s="12">
        <f>Rates!Q67</f>
        <v>0.5</v>
      </c>
      <c r="R67" s="12">
        <f>Rates!R67</f>
        <v>0.79900000000000004</v>
      </c>
      <c r="S67" s="12">
        <f>Rates!S67</f>
        <v>0.9</v>
      </c>
    </row>
    <row r="68" spans="1:19" x14ac:dyDescent="0.25">
      <c r="A68" s="3">
        <v>2096</v>
      </c>
      <c r="B68" s="12">
        <f>Rates!B68/Rates!B$22</f>
        <v>0.66666666666666663</v>
      </c>
      <c r="C68" s="12">
        <f>Rates!C68/Rates!C$22</f>
        <v>0.89999999999999991</v>
      </c>
      <c r="D68" s="12">
        <f>Rates!D68/Rates!D$22</f>
        <v>1</v>
      </c>
      <c r="E68" s="12">
        <f>Rates!E68/Rates!E$22</f>
        <v>0.83333333333333337</v>
      </c>
      <c r="F68" s="12">
        <f>Rates!F68/Rates!F$22</f>
        <v>0.92105263157894757</v>
      </c>
      <c r="G68" s="12">
        <f>Rates!G68/Rates!G$22</f>
        <v>0.97826086956521752</v>
      </c>
      <c r="H68" s="12">
        <f>Rates!H68/Rates!H$22</f>
        <v>0.79729729729729726</v>
      </c>
      <c r="I68" s="12">
        <f>Rates!I68/Rates!I$22</f>
        <v>0.87860718368629853</v>
      </c>
      <c r="J68" s="12">
        <f>Rates!J68/Rates!J$22</f>
        <v>0.94117647058823539</v>
      </c>
      <c r="K68" s="12">
        <f>Rates!K68/Rates!K$22</f>
        <v>1</v>
      </c>
      <c r="L68" s="12">
        <f>Rates!L68/Rates!L$22</f>
        <v>0.94179894179894186</v>
      </c>
      <c r="M68" s="12">
        <f>Rates!M68/Rates!M$22</f>
        <v>0.99465240641711228</v>
      </c>
      <c r="N68" s="12">
        <f>Rates!N68/Rates!N$22</f>
        <v>0.76923076923076916</v>
      </c>
      <c r="O68" s="12">
        <f>Rates!O68/Rates!O$22</f>
        <v>0.87951807228915668</v>
      </c>
      <c r="P68" s="12">
        <f>Rates!P68/Rates!P$22</f>
        <v>0.96256684491978606</v>
      </c>
      <c r="Q68" s="12">
        <f>Rates!Q68</f>
        <v>0.5</v>
      </c>
      <c r="R68" s="12">
        <f>Rates!R68</f>
        <v>0.79900000000000004</v>
      </c>
      <c r="S68" s="12">
        <f>Rates!S68</f>
        <v>0.9</v>
      </c>
    </row>
    <row r="69" spans="1:19" x14ac:dyDescent="0.25">
      <c r="A69" s="3">
        <v>2097</v>
      </c>
      <c r="B69" s="12">
        <f>Rates!B69/Rates!B$22</f>
        <v>0.66666666666666663</v>
      </c>
      <c r="C69" s="12">
        <f>Rates!C69/Rates!C$22</f>
        <v>0.89999999999999991</v>
      </c>
      <c r="D69" s="12">
        <f>Rates!D69/Rates!D$22</f>
        <v>1</v>
      </c>
      <c r="E69" s="12">
        <f>Rates!E69/Rates!E$22</f>
        <v>0.83333333333333337</v>
      </c>
      <c r="F69" s="12">
        <f>Rates!F69/Rates!F$22</f>
        <v>0.92105263157894757</v>
      </c>
      <c r="G69" s="12">
        <f>Rates!G69/Rates!G$22</f>
        <v>0.97826086956521752</v>
      </c>
      <c r="H69" s="12">
        <f>Rates!H69/Rates!H$22</f>
        <v>0.79729729729729726</v>
      </c>
      <c r="I69" s="12">
        <f>Rates!I69/Rates!I$22</f>
        <v>0.87860718368629853</v>
      </c>
      <c r="J69" s="12">
        <f>Rates!J69/Rates!J$22</f>
        <v>0.94117647058823539</v>
      </c>
      <c r="K69" s="12">
        <f>Rates!K69/Rates!K$22</f>
        <v>1</v>
      </c>
      <c r="L69" s="12">
        <f>Rates!L69/Rates!L$22</f>
        <v>0.94179894179894186</v>
      </c>
      <c r="M69" s="12">
        <f>Rates!M69/Rates!M$22</f>
        <v>0.99465240641711228</v>
      </c>
      <c r="N69" s="12">
        <f>Rates!N69/Rates!N$22</f>
        <v>0.76923076923076916</v>
      </c>
      <c r="O69" s="12">
        <f>Rates!O69/Rates!O$22</f>
        <v>0.87951807228915668</v>
      </c>
      <c r="P69" s="12">
        <f>Rates!P69/Rates!P$22</f>
        <v>0.96256684491978606</v>
      </c>
      <c r="Q69" s="12">
        <f>Rates!Q69</f>
        <v>0.5</v>
      </c>
      <c r="R69" s="12">
        <f>Rates!R69</f>
        <v>0.79900000000000004</v>
      </c>
      <c r="S69" s="12">
        <f>Rates!S69</f>
        <v>0.9</v>
      </c>
    </row>
    <row r="70" spans="1:19" x14ac:dyDescent="0.25">
      <c r="A70" s="3">
        <v>2098</v>
      </c>
      <c r="B70" s="12">
        <f>Rates!B70/Rates!B$22</f>
        <v>0.66666666666666663</v>
      </c>
      <c r="C70" s="12">
        <f>Rates!C70/Rates!C$22</f>
        <v>0.89999999999999991</v>
      </c>
      <c r="D70" s="12">
        <f>Rates!D70/Rates!D$22</f>
        <v>1</v>
      </c>
      <c r="E70" s="12">
        <f>Rates!E70/Rates!E$22</f>
        <v>0.83333333333333337</v>
      </c>
      <c r="F70" s="12">
        <f>Rates!F70/Rates!F$22</f>
        <v>0.92105263157894757</v>
      </c>
      <c r="G70" s="12">
        <f>Rates!G70/Rates!G$22</f>
        <v>0.97826086956521752</v>
      </c>
      <c r="H70" s="12">
        <f>Rates!H70/Rates!H$22</f>
        <v>0.79729729729729726</v>
      </c>
      <c r="I70" s="12">
        <f>Rates!I70/Rates!I$22</f>
        <v>0.87860718368629853</v>
      </c>
      <c r="J70" s="12">
        <f>Rates!J70/Rates!J$22</f>
        <v>0.94117647058823539</v>
      </c>
      <c r="K70" s="12">
        <f>Rates!K70/Rates!K$22</f>
        <v>1</v>
      </c>
      <c r="L70" s="12">
        <f>Rates!L70/Rates!L$22</f>
        <v>0.94179894179894186</v>
      </c>
      <c r="M70" s="12">
        <f>Rates!M70/Rates!M$22</f>
        <v>0.99465240641711228</v>
      </c>
      <c r="N70" s="12">
        <f>Rates!N70/Rates!N$22</f>
        <v>0.76923076923076916</v>
      </c>
      <c r="O70" s="12">
        <f>Rates!O70/Rates!O$22</f>
        <v>0.87951807228915668</v>
      </c>
      <c r="P70" s="12">
        <f>Rates!P70/Rates!P$22</f>
        <v>0.96256684491978606</v>
      </c>
      <c r="Q70" s="12">
        <f>Rates!Q70</f>
        <v>0.5</v>
      </c>
      <c r="R70" s="12">
        <f>Rates!R70</f>
        <v>0.79900000000000004</v>
      </c>
      <c r="S70" s="12">
        <f>Rates!S70</f>
        <v>0.9</v>
      </c>
    </row>
    <row r="71" spans="1:19" x14ac:dyDescent="0.25">
      <c r="A71" s="3">
        <v>2099</v>
      </c>
      <c r="B71" s="12">
        <f>Rates!B71/Rates!B$22</f>
        <v>0.66666666666666663</v>
      </c>
      <c r="C71" s="12">
        <f>Rates!C71/Rates!C$22</f>
        <v>0.89999999999999991</v>
      </c>
      <c r="D71" s="12">
        <f>Rates!D71/Rates!D$22</f>
        <v>1</v>
      </c>
      <c r="E71" s="12">
        <f>Rates!E71/Rates!E$22</f>
        <v>0.83333333333333337</v>
      </c>
      <c r="F71" s="12">
        <f>Rates!F71/Rates!F$22</f>
        <v>0.92105263157894757</v>
      </c>
      <c r="G71" s="12">
        <f>Rates!G71/Rates!G$22</f>
        <v>0.97826086956521752</v>
      </c>
      <c r="H71" s="12">
        <f>Rates!H71/Rates!H$22</f>
        <v>0.79729729729729726</v>
      </c>
      <c r="I71" s="12">
        <f>Rates!I71/Rates!I$22</f>
        <v>0.87860718368629853</v>
      </c>
      <c r="J71" s="12">
        <f>Rates!J71/Rates!J$22</f>
        <v>0.94117647058823539</v>
      </c>
      <c r="K71" s="12">
        <f>Rates!K71/Rates!K$22</f>
        <v>1</v>
      </c>
      <c r="L71" s="12">
        <f>Rates!L71/Rates!L$22</f>
        <v>0.94179894179894186</v>
      </c>
      <c r="M71" s="12">
        <f>Rates!M71/Rates!M$22</f>
        <v>0.99465240641711228</v>
      </c>
      <c r="N71" s="12">
        <f>Rates!N71/Rates!N$22</f>
        <v>0.76923076923076916</v>
      </c>
      <c r="O71" s="12">
        <f>Rates!O71/Rates!O$22</f>
        <v>0.87951807228915668</v>
      </c>
      <c r="P71" s="12">
        <f>Rates!P71/Rates!P$22</f>
        <v>0.96256684491978606</v>
      </c>
      <c r="Q71" s="12">
        <f>Rates!Q71</f>
        <v>0.5</v>
      </c>
      <c r="R71" s="12">
        <f>Rates!R71</f>
        <v>0.79900000000000004</v>
      </c>
      <c r="S71" s="12">
        <f>Rates!S71</f>
        <v>0.9</v>
      </c>
    </row>
    <row r="72" spans="1:19" x14ac:dyDescent="0.25">
      <c r="A72" s="3">
        <v>2100</v>
      </c>
      <c r="B72" s="12">
        <f>Rates!B72/Rates!B$22</f>
        <v>0.66666666666666663</v>
      </c>
      <c r="C72" s="12">
        <f>Rates!C72/Rates!C$22</f>
        <v>0.89999999999999991</v>
      </c>
      <c r="D72" s="12">
        <f>Rates!D72/Rates!D$22</f>
        <v>1</v>
      </c>
      <c r="E72" s="12">
        <f>Rates!E72/Rates!E$22</f>
        <v>0.83333333333333337</v>
      </c>
      <c r="F72" s="12">
        <f>Rates!F72/Rates!F$22</f>
        <v>0.92105263157894757</v>
      </c>
      <c r="G72" s="12">
        <f>Rates!G72/Rates!G$22</f>
        <v>0.97826086956521752</v>
      </c>
      <c r="H72" s="12">
        <f>Rates!H72/Rates!H$22</f>
        <v>0.79729729729729726</v>
      </c>
      <c r="I72" s="12">
        <f>Rates!I72/Rates!I$22</f>
        <v>0.87860718368629853</v>
      </c>
      <c r="J72" s="12">
        <f>Rates!J72/Rates!J$22</f>
        <v>0.94117647058823539</v>
      </c>
      <c r="K72" s="12">
        <f>Rates!K72/Rates!K$22</f>
        <v>1</v>
      </c>
      <c r="L72" s="12">
        <f>Rates!L72/Rates!L$22</f>
        <v>0.94179894179894186</v>
      </c>
      <c r="M72" s="12">
        <f>Rates!M72/Rates!M$22</f>
        <v>0.99465240641711228</v>
      </c>
      <c r="N72" s="12">
        <f>Rates!N72/Rates!N$22</f>
        <v>0.76923076923076916</v>
      </c>
      <c r="O72" s="12">
        <f>Rates!O72/Rates!O$22</f>
        <v>0.87951807228915668</v>
      </c>
      <c r="P72" s="12">
        <f>Rates!P72/Rates!P$22</f>
        <v>0.96256684491978606</v>
      </c>
      <c r="Q72" s="12">
        <f>Rates!Q72</f>
        <v>0.5</v>
      </c>
      <c r="R72" s="12">
        <f>Rates!R72</f>
        <v>0.79900000000000004</v>
      </c>
      <c r="S72" s="12">
        <f>Rates!S72</f>
        <v>0.9</v>
      </c>
    </row>
    <row r="73" spans="1:19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1:19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x14ac:dyDescent="0.25">
      <c r="A77" s="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CDR_Demand</vt:lpstr>
      <vt:lpstr>Storage_Capacity</vt:lpstr>
      <vt:lpstr>Cost</vt:lpstr>
      <vt:lpstr>Limit</vt:lpstr>
      <vt:lpstr>Subsidy</vt:lpstr>
      <vt:lpstr>Rates</vt:lpstr>
      <vt:lpstr>Rates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Kasra Motlaghzadeh</dc:creator>
  <cp:lastModifiedBy>Fernanda Brena</cp:lastModifiedBy>
  <dcterms:created xsi:type="dcterms:W3CDTF">2025-02-10T14:12:11Z</dcterms:created>
  <dcterms:modified xsi:type="dcterms:W3CDTF">2026-05-01T20:10:42Z</dcterms:modified>
</cp:coreProperties>
</file>